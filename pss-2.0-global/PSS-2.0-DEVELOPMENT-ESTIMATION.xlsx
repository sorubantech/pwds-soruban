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s\PWDS\pwds-soruban\pss-2.0-global\"/>
    </mc:Choice>
  </mc:AlternateContent>
  <bookViews>
    <workbookView xWindow="0" yWindow="0" windowWidth="23040" windowHeight="9072" activeTab="3"/>
  </bookViews>
  <sheets>
    <sheet name="Summary" sheetId="1" r:id="rId1"/>
    <sheet name="1. Business Modules" sheetId="2" r:id="rId2"/>
    <sheet name="2. Volunteer &amp; Membership" sheetId="3" r:id="rId3"/>
    <sheet name="3. AI Features" sheetId="4" r:id="rId4"/>
    <sheet name="4. System, Roles &amp; Platform" sheetId="5" r:id="rId5"/>
    <sheet name="5. Client Onboarding, Comms &amp; L" sheetId="6" r:id="rId6"/>
    <sheet name="6. Engineering &amp; Platform Found" sheetId="7" r:id="rId7"/>
  </sheets>
  <definedNames>
    <definedName name="_xlnm._FilterDatabase" localSheetId="1" hidden="1">'1. Business Modules'!$A$4:$J$38</definedName>
    <definedName name="_xlnm._FilterDatabase" localSheetId="2" hidden="1">'2. Volunteer &amp; Membership'!$A$4:$J$12</definedName>
    <definedName name="_xlnm._FilterDatabase" localSheetId="3" hidden="1">'3. AI Features'!$A$4:$J$17</definedName>
    <definedName name="_xlnm._FilterDatabase" localSheetId="4" hidden="1">'4. System, Roles &amp; Platform'!$A$4:$J$48</definedName>
    <definedName name="_xlnm._FilterDatabase" localSheetId="5" hidden="1">'5. Client Onboarding, Comms &amp; L'!$A$4:$J$14</definedName>
    <definedName name="_xlnm._FilterDatabase" localSheetId="6" hidden="1">'6. Engineering &amp; Platform Found'!$A$4:$J$41</definedName>
  </definedNames>
  <calcPr calcId="162913"/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<sst xmlns="http://schemas.openxmlformats.org/spreadsheetml/2006/main" count="848" uniqueCount="397">
  <si>
    <t>PSS 2.0 — DEVELOPMENT ESTIMATION PLAN</t>
  </si>
  <si>
    <t>Remaining scope to production go-live — grouped into 5 workstreams. Prepared for client review.</t>
  </si>
  <si>
    <t>Workstream</t>
  </si>
  <si>
    <t>Items</t>
  </si>
  <si>
    <t>Dev h</t>
  </si>
  <si>
    <t>QA/Verify h</t>
  </si>
  <si>
    <t>Total h</t>
  </si>
  <si>
    <t>Effort (days)</t>
  </si>
  <si>
    <t>1. Business Modules</t>
  </si>
  <si>
    <t>2. Volunteer &amp; Membership</t>
  </si>
  <si>
    <t>3. AI Features</t>
  </si>
  <si>
    <t>4. System, Roles &amp; Platform</t>
  </si>
  <si>
    <t>5. Client Onboarding, Comms &amp; Leads</t>
  </si>
  <si>
    <t>6. Engineering &amp; Platform Foundations</t>
  </si>
  <si>
    <t>GRAND TOTAL</t>
  </si>
  <si>
    <t>PM contingency (15%)</t>
  </si>
  <si>
    <t>PLANNED TOTAL (with buffer)</t>
  </si>
  <si>
    <t>DELIVERY TIMELINE (planned days ÷ team, at ~21 working days/month)</t>
  </si>
  <si>
    <t>Team size</t>
  </si>
  <si>
    <t>Person-days</t>
  </si>
  <si>
    <t>Elapsed working days</t>
  </si>
  <si>
    <t>Elapsed calendar (months)</t>
  </si>
  <si>
    <t>Note</t>
  </si>
  <si>
    <t>Single AI-assisted senior dev (as estimated)</t>
  </si>
  <si>
    <t>One dev + one dev/QA in parallel</t>
  </si>
  <si>
    <t>Small squad (2 dev + 1 QA), most parallelisable</t>
  </si>
  <si>
    <t>INDICATIVE COST (enter your blended day-rate in the yellow cell)</t>
  </si>
  <si>
    <t>Blended day-rate (per person-day)</t>
  </si>
  <si>
    <t>← enter rate</t>
  </si>
  <si>
    <t>Planned effort (person-days)</t>
  </si>
  <si>
    <t>Indicative project cost</t>
  </si>
  <si>
    <t>ASSUMPTIONS &amp; BASIS OF ESTIMATE</t>
  </si>
  <si>
    <t>1.  Estimates are for ONE senior developer working AI-assisted (average prompting skill). Dev hours already include prompt iteration and reviewing/fixing AI output.</t>
  </si>
  <si>
    <t>2.  QA / Verify hours are separate and cover business-flow testing, defect fixing and UAT support.</t>
  </si>
  <si>
    <t>3.  1 productive day = 6 focused hours. Days are rounded to the nearest 0.5.</t>
  </si>
  <si>
    <t>4.  A 15% PM contingency is added at the summary level for meetings, revisions, integration surprises and UAT rework.</t>
  </si>
  <si>
    <t>5.  Complexity: S ≤ 1 day, M ≈ 1–3 days, L ≈ 3–5 days, XL ≈ 5+ days of build. Priority: P1 = go-live critical, P2 = important, P3 = post-launch.</t>
  </si>
  <si>
    <t>6.  This plan covers REMAINING scope only. The separate production-readiness / code-audit estimation (335 findings) is tracked in its own workbook and is NOT included here to avoid double-counting.</t>
  </si>
  <si>
    <t>7.  Third-party costs (payment-gateway, SMS/WhatsApp, AI API usage, blob storage, email) are pass-through and NOT included in the effort above.</t>
  </si>
  <si>
    <t>8.  Timeline assumes requirements are stable and environments/credentials are available on time; scope changes are handled via change request.</t>
  </si>
  <si>
    <t>PSS 2.0  —  1. Business Modules</t>
  </si>
  <si>
    <t>Core fundraising &amp; delivery modules to complete, integrate and business-test: Contacts, Donations, Grants, Case Management, Communication, Dashboards, Events.</t>
  </si>
  <si>
    <t>#</t>
  </si>
  <si>
    <t>Group</t>
  </si>
  <si>
    <t>Work Item</t>
  </si>
  <si>
    <t>Detail</t>
  </si>
  <si>
    <t>Cx</t>
  </si>
  <si>
    <t>Pri</t>
  </si>
  <si>
    <t>QA h</t>
  </si>
  <si>
    <t>Days</t>
  </si>
  <si>
    <t>Contacts</t>
  </si>
  <si>
    <t>Contact Import</t>
  </si>
  <si>
    <t>Re-test end-to-end and harden — field mapping, dedupe on import, error-row report, large-file handling.</t>
  </si>
  <si>
    <t>M</t>
  </si>
  <si>
    <t>P2</t>
  </si>
  <si>
    <t>Family</t>
  </si>
  <si>
    <t>Re-test relationships, primary contact and merge behaviour.</t>
  </si>
  <si>
    <t>S</t>
  </si>
  <si>
    <t>Duplicate Detection</t>
  </si>
  <si>
    <t>Re-test match rules, merge and survivorship.</t>
  </si>
  <si>
    <t>Certificate Processing</t>
  </si>
  <si>
    <t>Re-test generation, print and template binding.</t>
  </si>
  <si>
    <t>Donations</t>
  </si>
  <si>
    <t>Multi-currency completion</t>
  </si>
  <si>
    <t>Finish contact-level currency + every amount surface (grids, tiles, receipts, drawers) still showing raw/base amounts.</t>
  </si>
  <si>
    <t>L</t>
  </si>
  <si>
    <t>P1</t>
  </si>
  <si>
    <t>Currency conversion coverage</t>
  </si>
  <si>
    <t>Apply direct-pair FX consistently across dashboards, reports and reconciliations.</t>
  </si>
  <si>
    <t>Currency decimal formatting</t>
  </si>
  <si>
    <t>Standardise precision, grouping and symbol placement from the currency master.</t>
  </si>
  <si>
    <t>Pledge lifecycle</t>
  </si>
  <si>
    <t>Complete and verify schedule, partial payments, fulfilment, reminders, ageing and write-off.</t>
  </si>
  <si>
    <t>Bulk Donation Upload</t>
  </si>
  <si>
    <t>Complete &amp; re-test template, validation, partial-failure handling and import receipting.</t>
  </si>
  <si>
    <t>Donation / payment reconciliation</t>
  </si>
  <si>
    <t>Matching, unmatched queue and matching against the real gateway settlement feed.</t>
  </si>
  <si>
    <t>Refund flow</t>
  </si>
  <si>
    <t>End-to-end approval, gateway reversal, receipt void and ledger reversal.</t>
  </si>
  <si>
    <t>Matching-Gift</t>
  </si>
  <si>
    <t>Complete screen + employer-match workflow (directory, ratio, claim, reconciliation).</t>
  </si>
  <si>
    <t>Ambassador module</t>
  </si>
  <si>
    <t>Full business-flow testing: collection, book master, allocations (allocation → collection → reconciliation).</t>
  </si>
  <si>
    <t>Receipt &amp; tax-certificate issuance</t>
  </si>
  <si>
    <t>First-class flow: per-tenant number series, country tax format (80G), PDF, re-issue/void, annual consolidated receipts.</t>
  </si>
  <si>
    <t>XL</t>
  </si>
  <si>
    <t>Donation acknowledgement automation</t>
  </si>
  <si>
    <t>Auto thank-you on receipt, tiered by amount and first-time vs repeat donor.</t>
  </si>
  <si>
    <t>Recurring / subscription engine</t>
  </si>
  <si>
    <t>Auto-charge schedule, failed-card retry, dunning, expiry/renewal, pause/cancel (distinct from pledges).</t>
  </si>
  <si>
    <t>Restricted / designated funds</t>
  </si>
  <si>
    <t>Donor-restricted fund balances, allocation/release and over-spend guard so Grant/Case movements reconcile.</t>
  </si>
  <si>
    <t>Grants</t>
  </si>
  <si>
    <t>Grant full business testing</t>
  </si>
  <si>
    <t>Application → communication → fund collection → utilisation → reports, end to end.</t>
  </si>
  <si>
    <t>Grant creation-flow fix</t>
  </si>
  <si>
    <t>Enforce full intake (funder, award-letter evidence, budget lines) before advancing; route stage changes through proper approve/activate handlers.</t>
  </si>
  <si>
    <t>Grant communication wiring</t>
  </si>
  <si>
    <t>Compose-from-template funder emails + silent internal notifications + grant communication audit tab.</t>
  </si>
  <si>
    <t>Case Management</t>
  </si>
  <si>
    <t>Case full business retest</t>
  </si>
  <si>
    <t>Program → fund request → allocation → publish → enrolment → case → service delivery.</t>
  </si>
  <si>
    <t>Case approval gating</t>
  </si>
  <si>
    <t>Gate assistance and fund steps behind the approval process.</t>
  </si>
  <si>
    <t>Outcome &amp; impact tracking</t>
  </si>
  <si>
    <t>Beneficiary/case outcome metrics, before/after, funder-reportable.</t>
  </si>
  <si>
    <t>Communication</t>
  </si>
  <si>
    <t>SMS &amp; WhatsApp real service</t>
  </si>
  <si>
    <t>End-to-end provider account, send, delivery-status webhooks and templates (not just screens).</t>
  </si>
  <si>
    <t>In-app notification service</t>
  </si>
  <si>
    <t>Produce/deliver/read-state/bell UI, raised from key domain events across modules.</t>
  </si>
  <si>
    <t>Prayer Request &amp; reply service</t>
  </si>
  <si>
    <t>Submission, moderation, reply dispatch and notification.</t>
  </si>
  <si>
    <t>Contextual send actions</t>
  </si>
  <si>
    <t>Email/SMS/WhatsApp directly from Event and Case screens.</t>
  </si>
  <si>
    <t>Social-media communication</t>
  </si>
  <si>
    <t>Channel account config + post/share/publish for Event, Case, etc.</t>
  </si>
  <si>
    <t>Preference &amp; unsubscribe centre</t>
  </si>
  <si>
    <t>Per-channel/category opt-in-out, one-click unsubscribe, DND/DLT compliance.</t>
  </si>
  <si>
    <t>Dashboards</t>
  </si>
  <si>
    <t>All-module dashboards</t>
  </si>
  <si>
    <t>Build missing, finish partial and bind widgets to live data across every module.</t>
  </si>
  <si>
    <t>Events</t>
  </si>
  <si>
    <t>Events full-flow retest</t>
  </si>
  <si>
    <t>Setup → registration → ticketing → check-in → analytics.</t>
  </si>
  <si>
    <t>Ticketing / registration / check-in</t>
  </si>
  <si>
    <t>Paid/free tiers, QR check-in, capacity, waitlist.</t>
  </si>
  <si>
    <t>Event Auction commission</t>
  </si>
  <si>
    <t>Commission calculation, payouts, settlement and reporting.</t>
  </si>
  <si>
    <t>Staff creation &amp; role assignment</t>
  </si>
  <si>
    <t>Re-test invite, role bind and capability take-effect.</t>
  </si>
  <si>
    <t>TOTAL — 34 items</t>
  </si>
  <si>
    <t>PSS 2.0  —  2. Volunteer &amp; Membership</t>
  </si>
  <si>
    <t>Volunteer and Membership module completion, self-service portals, and cross-module volunteer service integration.</t>
  </si>
  <si>
    <t>Volunteer</t>
  </si>
  <si>
    <t>Volunteer module completion</t>
  </si>
  <si>
    <t>Public registration, profiles/roles, service allocations, working-hours monitoring; reconcile built screens vs scope.</t>
  </si>
  <si>
    <t>Volunteer portal</t>
  </si>
  <si>
    <t>Self-service hour tracking, availabilities, detail collection with hour approval.</t>
  </si>
  <si>
    <t>Volunteer service integration</t>
  </si>
  <si>
    <t>Cross-module volunteer picker into Event, P2P Fundraising and Case Management.</t>
  </si>
  <si>
    <t>Membership</t>
  </si>
  <si>
    <t>Membership module completion</t>
  </si>
  <si>
    <t>Plan tiers, renewal, benefits; reconcile built screens vs scope.</t>
  </si>
  <si>
    <t>Membership portal</t>
  </si>
  <si>
    <t>Self-service join, renew and manage.</t>
  </si>
  <si>
    <t>Renewal reminders &amp; lapse</t>
  </si>
  <si>
    <t>Wire renewal reminders and lapse handling into the notification service.</t>
  </si>
  <si>
    <t>Engagement</t>
  </si>
  <si>
    <t>Campaign / appeal management</t>
  </si>
  <si>
    <t>Goal, thermometer, channel attribution, cost, ROI tying donations/events/P2P/crowdfunding to a parent campaign.</t>
  </si>
  <si>
    <t>Segmentation &amp; saved lists</t>
  </si>
  <si>
    <t>Dynamic donor segments feeding communication, exports and campaigns.</t>
  </si>
  <si>
    <t>TOTAL — 8 items</t>
  </si>
  <si>
    <t>PSS 2.0  —  3. AI Features</t>
  </si>
  <si>
    <t>Application-wide AI capability build-out — platform service, predictive models, assistants and governance.</t>
  </si>
  <si>
    <t>AI Platform</t>
  </si>
  <si>
    <t>AI service + fallback</t>
  </si>
  <si>
    <t>Central AI gateway with provider fallback, ret/timeout, per-tenant keys.</t>
  </si>
  <si>
    <t>AI utilisation tracking</t>
  </si>
  <si>
    <t>Per-tenant usage metering, token/cost logging and quota surfacing.</t>
  </si>
  <si>
    <t>AI governance</t>
  </si>
  <si>
    <t>Prompt/PII redaction before send, per-tenant cost caps, output audit log, human-in-the-loop review.</t>
  </si>
  <si>
    <t>Predictive</t>
  </si>
  <si>
    <t>Engagement-score prediction</t>
  </si>
  <si>
    <t>Donor/volunteer engagement scoring model + surfacing on records.</t>
  </si>
  <si>
    <t>Churn prediction</t>
  </si>
  <si>
    <t>Lapse/churn-risk scoring with drivers and worklist.</t>
  </si>
  <si>
    <t>Donation / revenue forecasting</t>
  </si>
  <si>
    <t>Goal-pacing and forecast at campaign and org level.</t>
  </si>
  <si>
    <t>Next-best-action &amp; ask-amount</t>
  </si>
  <si>
    <t>Per-donor recommendation (segmentation + propensity).</t>
  </si>
  <si>
    <t>Anomaly / fraud detection</t>
  </si>
  <si>
    <t>Unusual amount, velocity and card-testing detection on donations/refunds.</t>
  </si>
  <si>
    <t>Assistants</t>
  </si>
  <si>
    <t>AI chatbot — Ask your data</t>
  </si>
  <si>
    <t>NL query over tenant data with guardrails, tenant scoping and cited results.</t>
  </si>
  <si>
    <t>Generative content assistant</t>
  </si>
  <si>
    <t>Draft thank-you/campaign/grant-report/email copy from context with tone/length controls.</t>
  </si>
  <si>
    <t>Duplicate/merge suggestions</t>
  </si>
  <si>
    <t>AI-assisted contact dedupe augmenting rule-based detection.</t>
  </si>
  <si>
    <t>Intelligence</t>
  </si>
  <si>
    <t>Document / receipt OCR</t>
  </si>
  <si>
    <t>Scan cheque/receipt/ID into structured fields for offline donation and KYC capture.</t>
  </si>
  <si>
    <t>Sentiment &amp; topic analysis</t>
  </si>
  <si>
    <t>On inbound communication, prayer requests and feedback.</t>
  </si>
  <si>
    <t>P3</t>
  </si>
  <si>
    <t>TOTAL — 13 items</t>
  </si>
  <si>
    <t>PSS 2.0  —  4. System, Roles &amp; Platform</t>
  </si>
  <si>
    <t>Platform configuration, roles/security, cross-cutting services, finance/reporting plumbing, integrations and release-readiness.</t>
  </si>
  <si>
    <t>Config &amp; Roles</t>
  </si>
  <si>
    <t>Role config &amp; screen setup</t>
  </si>
  <si>
    <t>Test roles, capabilities, menu access, widgets; confirm capability→menu→widget wiring per role.</t>
  </si>
  <si>
    <t>Grid configuration</t>
  </si>
  <si>
    <t>Revisit grids, fields, layouts, custom fields, filters, columns; confirm per-grid integrity.</t>
  </si>
  <si>
    <t>Master Data &amp; Type</t>
  </si>
  <si>
    <t>Complete &amp; re-test; verify type→data relationship and usage.</t>
  </si>
  <si>
    <t>Payment gateway &amp; account config</t>
  </si>
  <si>
    <t>Per-company gateway and bank-account configuration screen.</t>
  </si>
  <si>
    <t>Comms account config</t>
  </si>
  <si>
    <t>WhatsApp/SMS/Email credentials, sender, test-send.</t>
  </si>
  <si>
    <t>Template approval flow</t>
  </si>
  <si>
    <t>WhatsApp and SMS template approval workflow.</t>
  </si>
  <si>
    <t>Dashboard &amp; widgets config</t>
  </si>
  <si>
    <t>Layout, widget catalog, role binding.</t>
  </si>
  <si>
    <t>Settings hierarchy config</t>
  </si>
  <si>
    <t>Setting-Group + Organization-Setting + User-Setting inheritance/override precedence.</t>
  </si>
  <si>
    <t>Automation-workflow config</t>
  </si>
  <si>
    <t>Condition-based communication/job creation engine.</t>
  </si>
  <si>
    <t>Approver settings &amp; approval process</t>
  </si>
  <si>
    <t>Config-driven approval chains, wired into every module + central approval inbox.</t>
  </si>
  <si>
    <t>Platform Services</t>
  </si>
  <si>
    <t>Grids import/toggle cleanup</t>
  </si>
  <si>
    <t>Remove Import action + show/hide toggle from grids that don't need them.</t>
  </si>
  <si>
    <t>Timezone handling</t>
  </si>
  <si>
    <t>Store UTC, display org/user timezone across all dates, filters and reports.</t>
  </si>
  <si>
    <t>Global audit trail</t>
  </si>
  <si>
    <t>Who-changed-what-when with before/after, surfaced in UI, retention policy.</t>
  </si>
  <si>
    <t>Document/file storage</t>
  </si>
  <si>
    <t>Secure private blob (upload/download/virus-scan) unblocking grant attachments &amp; KYC.</t>
  </si>
  <si>
    <t>Global search</t>
  </si>
  <si>
    <t>Across contacts, donations, cases, grants, etc.</t>
  </si>
  <si>
    <t>Background-job monitoring</t>
  </si>
  <si>
    <t>Queue health, retries, dead-letter, manual re-run for messaging/imports.</t>
  </si>
  <si>
    <t>Tenant branding / white-label</t>
  </si>
  <si>
    <t>Logo, colours, sender name, custom domain, email footer.</t>
  </si>
  <si>
    <t>Module entitlement per tenant</t>
  </si>
  <si>
    <t>Turn modules on/off, plan-gated features.</t>
  </si>
  <si>
    <t>Reusable import framework</t>
  </si>
  <si>
    <t>Validation, error report, partial-commit, rollback, mapping templates.</t>
  </si>
  <si>
    <t>Health &amp; observability</t>
  </si>
  <si>
    <t>Health checks, error monitoring/alerting, structured logging, uptime.</t>
  </si>
  <si>
    <t>Data-retention &amp; purge engine</t>
  </si>
  <si>
    <t>Per-entity/per-tenant archival and purge, compliance-driven.</t>
  </si>
  <si>
    <t>Security &amp; Compliance</t>
  </si>
  <si>
    <t>Authentication hardening</t>
  </si>
  <si>
    <t>MFA/2FA, SSO/OAuth, password policy, lockout, session timeout, concurrent-session control.</t>
  </si>
  <si>
    <t>Data-privacy / DSAR</t>
  </si>
  <si>
    <t>GDPR/DPDP export, erasure/anonymise, consent ledger, processing records.</t>
  </si>
  <si>
    <t>PII field-level protection</t>
  </si>
  <si>
    <t>Encryption at rest for sensitive fields, UI/log masking, PCI scope at gateway iframe.</t>
  </si>
  <si>
    <t>Role/permission security review</t>
  </si>
  <si>
    <t>Server-side authz on every mutation, tenant-isolation tests, IDOR checks.</t>
  </si>
  <si>
    <t>Finance &amp; Accounting</t>
  </si>
  <si>
    <t>Tax integration</t>
  </si>
  <si>
    <t>Tax config, computation at donation/receipt time, tax receipts and reports.</t>
  </si>
  <si>
    <t>Gateway settlement reconciliation</t>
  </si>
  <si>
    <t>Match payout report to donations, fees, unsettled/disputed states.</t>
  </si>
  <si>
    <t>GL / accounting export</t>
  </si>
  <si>
    <t>Tally/QuickBooks/Xero/CSV with chart-of-accounts and fund-dimension mapping.</t>
  </si>
  <si>
    <t>Financial &amp; statutory reports</t>
  </si>
  <si>
    <t>FCRA/annual return, fund-utilisation, receipts/donation registers.</t>
  </si>
  <si>
    <t>Multi-currency settlement &amp; FX g/l</t>
  </si>
  <si>
    <t>FX gain/loss at the ledger level.</t>
  </si>
  <si>
    <t>Reporting</t>
  </si>
  <si>
    <t>Standard report pack</t>
  </si>
  <si>
    <t>Per-module reports (donations, donors, grants, cases, events, volunteers).</t>
  </si>
  <si>
    <t>Scheduled report delivery</t>
  </si>
  <si>
    <t>Email report/export on a cadence to staff, funders, board.</t>
  </si>
  <si>
    <t>Export governance</t>
  </si>
  <si>
    <t>Bulk-export permissions, watermarking, export audit.</t>
  </si>
  <si>
    <t>Integrations</t>
  </si>
  <si>
    <t>Public REST/webhook API</t>
  </si>
  <si>
    <t>Per-tenant API keys; donate button, Zapier-style automation, CRM sync.</t>
  </si>
  <si>
    <t>Website embed / donate widget</t>
  </si>
  <si>
    <t>OG-tagged public pages tying into external donation/crowdfund pages.</t>
  </si>
  <si>
    <t>Calendar / meeting integration</t>
  </si>
  <si>
    <t>For events and volunteer scheduling.</t>
  </si>
  <si>
    <t>Accounting/CRM/marketing connectors</t>
  </si>
  <si>
    <t>Connector framework + first connectors.</t>
  </si>
  <si>
    <t>Release Readiness</t>
  </si>
  <si>
    <t>Performance &amp; load testing</t>
  </si>
  <si>
    <t>Grids, bulk imports, report queries, concurrent tenants.</t>
  </si>
  <si>
    <t>Security testing</t>
  </si>
  <si>
    <t>OWASP Top 10, dependency/CVE scan, pen-test pass.</t>
  </si>
  <si>
    <t>Accessibility &amp; cross-browser</t>
  </si>
  <si>
    <t>WCAG 2.1 AA + responsive verification.</t>
  </si>
  <si>
    <t>UAT scripts &amp; regression suite</t>
  </si>
  <si>
    <t>Per business flow + regression pack.</t>
  </si>
  <si>
    <t>Documentation set</t>
  </si>
  <si>
    <t>Admin/user guides, API docs, data dictionary, runbooks.</t>
  </si>
  <si>
    <t>Backup / DR drill</t>
  </si>
  <si>
    <t>Defined and tested RPO/RTO.</t>
  </si>
  <si>
    <t>Localization / i18n</t>
  </si>
  <si>
    <t>Multi-language if serving multiple regions.</t>
  </si>
  <si>
    <t>TOTAL — 44 items</t>
  </si>
  <si>
    <t>PSS 2.0  —  5. Client Onboarding, Comms &amp; Leads</t>
  </si>
  <si>
    <t>New-client acquisition and go-live: leads/prospect tracking, onboarding flow, client communications and data migration.</t>
  </si>
  <si>
    <t>Leads</t>
  </si>
  <si>
    <t>Leads / prospect tracking</t>
  </si>
  <si>
    <t>Lead capture, pipeline stages, owner assignment, follow-up tasks, activity log, convert-to-tenant.</t>
  </si>
  <si>
    <t>Lead source &amp; attribution</t>
  </si>
  <si>
    <t>Source tagging and marketing attribution on conversions.</t>
  </si>
  <si>
    <t>Trial-to-paid conversion</t>
  </si>
  <si>
    <t>Trial provisioning, conversion flow and plan assignment.</t>
  </si>
  <si>
    <t>Onboarding</t>
  </si>
  <si>
    <t>Guided onboarding wizard</t>
  </si>
  <si>
    <t>Setup checklist: org profile → branding → users/roles → gateway → comms accounts → master data → go-live.</t>
  </si>
  <si>
    <t>Onboarding progress &amp; health</t>
  </si>
  <si>
    <t>Per-client onboarding progress tracking and health score.</t>
  </si>
  <si>
    <t>Legacy data-migration toolkit</t>
  </si>
  <si>
    <t>Templates/validators for contacts, historical donations, receipts, pledges; dedupe on import + reconciliation report.</t>
  </si>
  <si>
    <t>Seed/demo dataset &amp; sandbox</t>
  </si>
  <si>
    <t>Demo data and sandbox environment for training and trials.</t>
  </si>
  <si>
    <t>In-app guidance</t>
  </si>
  <si>
    <t>Contextual help, tooltips, guided tours, help-centre links.</t>
  </si>
  <si>
    <t>Environment &amp; release management</t>
  </si>
  <si>
    <t>Staging vs prod config, config promotion, per-tenant go-live cutover runbook.</t>
  </si>
  <si>
    <t>Client Comms</t>
  </si>
  <si>
    <t>Client communication sequences</t>
  </si>
  <si>
    <t>Welcome, training invites, onboarding status updates, milestone nudges (staff-facing client lifecycle).</t>
  </si>
  <si>
    <t>TOTAL — 10 items</t>
  </si>
  <si>
    <t>PSS 2.0  —  6. Engineering &amp; Platform Foundations</t>
  </si>
  <si>
    <t>Enterprise developer-side / non-functional foundations that underpin every feature: DevOps &amp; delivery, architecture services, data &amp; persistence, observability, quality, security and frontend engineering. Distinct from the product features in tabs 1-5.</t>
  </si>
  <si>
    <t>DevOps &amp; Delivery</t>
  </si>
  <si>
    <t>CI/CD pipelines</t>
  </si>
  <si>
    <t>Automated build, test, and multi-environment deploy (dev/staging/prod) with gated releases and rollback.</t>
  </si>
  <si>
    <t>Infrastructure as Code</t>
  </si>
  <si>
    <t>Terraform/Bicep for reproducible environment provisioning and drift control.</t>
  </si>
  <si>
    <t>Containerization &amp; orchestration</t>
  </si>
  <si>
    <t>Docker images + App Service/Kubernetes deployment topology and scaling policy.</t>
  </si>
  <si>
    <t>Secrets &amp; config management</t>
  </si>
  <si>
    <t>Key Vault, per-env config, secret rotation, no secrets in source.</t>
  </si>
  <si>
    <t>Tenant provisioning automation</t>
  </si>
  <si>
    <t>Automated create/seed/teardown/offboarding + data export per tenant.</t>
  </si>
  <si>
    <t>Architecture &amp; Services</t>
  </si>
  <si>
    <t>Distributed caching (Redis)</t>
  </si>
  <si>
    <t>Cache-aside for hot reads, invalidation strategy, per-tenant key scoping.</t>
  </si>
  <si>
    <t>Message queue / event bus</t>
  </si>
  <si>
    <t>Async messaging with outbox pattern, idempotency and dead-letter (infra under the job-monitor UI).</t>
  </si>
  <si>
    <t>Background job scheduler</t>
  </si>
  <si>
    <t>Hangfire/Quartz durable scheduler for recurring and deferred jobs.</t>
  </si>
  <si>
    <t>Real-time infrastructure</t>
  </si>
  <si>
    <t>SignalR/WebSocket for in-app notifications and live dashboard updates.</t>
  </si>
  <si>
    <t>Resilience layer</t>
  </si>
  <si>
    <t>Global exception handling, Polly retry/circuit-breaker, transient-fault handling.</t>
  </si>
  <si>
    <t>API &amp; GraphQL versioning</t>
  </si>
  <si>
    <t>Schema governance, deprecation policy, backward compatibility.</t>
  </si>
  <si>
    <t>Webhook delivery infra</t>
  </si>
  <si>
    <t>Outbound webhook dispatch with retry, signing and dead-letter.</t>
  </si>
  <si>
    <t>Email deliverability infra</t>
  </si>
  <si>
    <t>SPF/DKIM/DMARC, bounce/complaint handling, sender reputation.</t>
  </si>
  <si>
    <t>Data &amp; Persistence</t>
  </si>
  <si>
    <t>Search engine infra</t>
  </si>
  <si>
    <t>Azure AI Search/Elasticsearch + indexing pipeline behind the global-search feature.</t>
  </si>
  <si>
    <t>DB performance tuning</t>
  </si>
  <si>
    <t>Indexing, query optimization, connection pooling, N+1 elimination.</t>
  </si>
  <si>
    <t>Reporting read-model / ETL</t>
  </si>
  <si>
    <t>Read models / materialized views so heavy reports don't hit the OLTP path.</t>
  </si>
  <si>
    <t>Migration strategy &amp; tooling</t>
  </si>
  <si>
    <t>Repeatable EF migration process, seed framework, zero-downtime approach.</t>
  </si>
  <si>
    <t>Optimistic concurrency rollout</t>
  </si>
  <si>
    <t>Row-versioning / concurrency tokens across mutable entities.</t>
  </si>
  <si>
    <t>Observability</t>
  </si>
  <si>
    <t>Centralized structured logging</t>
  </si>
  <si>
    <t>Serilog + correlation IDs + log aggregation/retention.</t>
  </si>
  <si>
    <t>Distributed tracing &amp; APM</t>
  </si>
  <si>
    <t>OpenTelemetry / Application Insights end-to-end request tracing.</t>
  </si>
  <si>
    <t>Metrics, alerting &amp; SLOs</t>
  </si>
  <si>
    <t>Uptime/error/latency metrics, dashboards and on-call alerting.</t>
  </si>
  <si>
    <t>Quality Engineering</t>
  </si>
  <si>
    <t>Automated test suites</t>
  </si>
  <si>
    <t>Unit + integration coverage on critical paths with CI coverage gates.</t>
  </si>
  <si>
    <t>E2E test automation</t>
  </si>
  <si>
    <t>Playwright automation for critical business flows in CI.</t>
  </si>
  <si>
    <t>Test-data factories</t>
  </si>
  <si>
    <t>Fixtures/builders and seeded test tenants for deterministic tests.</t>
  </si>
  <si>
    <t>Code-quality gates</t>
  </si>
  <si>
    <t>Lint, static analysis (SonarQube), PR checks and standards.</t>
  </si>
  <si>
    <t>Security Engineering</t>
  </si>
  <si>
    <t>Pipeline security scanning</t>
  </si>
  <si>
    <t>SAST/DAST + dependency and secret scanning in CI.</t>
  </si>
  <si>
    <t>Rate limiting / WAF / DDoS</t>
  </si>
  <si>
    <t>Throttling, WAF rules and DDoS protection at the edge.</t>
  </si>
  <si>
    <t>Security headers / CSP / CORS</t>
  </si>
  <si>
    <t>Harden HTTP headers, content-security-policy and CORS.</t>
  </si>
  <si>
    <t>Frontend Engineering</t>
  </si>
  <si>
    <t>Design-system consolidation</t>
  </si>
  <si>
    <t>Shared component library, tokens and pattern reuse across screens.</t>
  </si>
  <si>
    <t>FE performance &amp; robustness</t>
  </si>
  <si>
    <t>Code-splitting, bundle optimization, error boundaries, lazy loading.</t>
  </si>
  <si>
    <t>SSR/SEO &amp; Core Web Vitals</t>
  </si>
  <si>
    <t>Server rendering + SEO for public pages, performance budget.</t>
  </si>
  <si>
    <t>Scale &amp; Reliability</t>
  </si>
  <si>
    <t>Azure Front Door setup</t>
  </si>
  <si>
    <t>Global entry point / navigation: routing rules, origin groups, health probes, latency-based routing and regional failover.</t>
  </si>
  <si>
    <t>Front Door custom domains &amp; TLS</t>
  </si>
  <si>
    <t>Per-tenant / white-label custom-domain routing with managed TLS certificates and CNAME automation.</t>
  </si>
  <si>
    <t>Front Door WAF &amp; rules engine</t>
  </si>
  <si>
    <t>Edge WAF policy, DDoS protection and rules-engine navigation (path routing, redirects, header rewrite, edge caching).</t>
  </si>
  <si>
    <t>Horizontal scaling &amp; CDN</t>
  </si>
  <si>
    <t>Stateless services, distributed session store, CDN for static assets behind Front Door.</t>
  </si>
  <si>
    <t>Backup automation &amp; PITR</t>
  </si>
  <si>
    <t>Automated backups, point-in-time restore, geo-redundancy.</t>
  </si>
  <si>
    <t>Load &amp; autoscaling architecture</t>
  </si>
  <si>
    <t>Load-test-driven autoscaling rules and capacity planning.</t>
  </si>
  <si>
    <t>TOTAL — 37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</si>
</sst>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9"/>
      <color rgb="FF44546A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BF8F00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0"/>
      <color rgb="FF808080"/>
      <name val="Calibri"/>
    </font>
    <font>
      <b/>
      <sz val="18"/>
      <color rgb="FFFFFFFF"/>
      <name val="Calibri"/>
    </font>
    <font>
      <sz val="10"/>
      <color rgb="FF44546A"/>
      <name val="Calibri"/>
    </font>
    <font>
      <sz val="11"/>
      <color rgb="FF000000"/>
      <name val="Calibri"/>
    </font>
    <font>
      <b/>
      <sz val="11"/>
      <color rgb="FFBF8F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9"/>
      <color rgb="FF808080"/>
      <name val="Calibri"/>
    </font>
    <font>
      <b/>
      <sz val="12"/>
      <color rgb="FF375623"/>
      <name val="Calibri"/>
    </font>
    <font>
      <sz val="9"/>
      <color rgb="FF40404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0F0"/>
      </patternFill>
    </fill>
    <fill>
      <patternFill patternType="solid">
        <fgColor rgb="FF2E5496"/>
      </patternFill>
    </fill>
    <fill>
      <patternFill patternType="solid">
        <fgColor rgb="FFFBFBFB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375623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indent="1"/>
    </xf>
    <xf numFmtId="0" fontId="12" fillId="0" borderId="1" xfId="0" applyFont="1" applyBorder="1" applyAlignment="1">
      <alignment horizontal="right" vertical="center"/>
    </xf>
    <xf numFmtId="0" fontId="8" fillId="9" borderId="1" xfId="0" applyFont="1" applyFill="1" applyBorder="1" applyAlignment="1">
      <alignment vertical="center" indent="1"/>
    </xf>
    <xf numFmtId="0" fontId="8" fillId="9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vertical="center" indent="1"/>
    </xf>
    <xf numFmtId="0" fontId="13" fillId="0" borderId="1" xfId="0" applyFont="1" applyBorder="1" applyAlignment="1">
      <alignment horizontal="right" vertical="center"/>
    </xf>
    <xf numFmtId="0" fontId="14" fillId="2" borderId="1" xfId="0" applyFont="1" applyFill="1" applyBorder="1" applyAlignment="1">
      <alignment vertical="center" indent="1"/>
    </xf>
    <xf numFmtId="0" fontId="14" fillId="2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0" fontId="15" fillId="10" borderId="1" xfId="0" applyFont="1" applyFill="1" applyBorder="1" applyAlignment="1">
      <alignment horizontal="right" vertical="center"/>
    </xf>
    <xf numFmtId="0" fontId="16" fillId="0" borderId="0" xfId="0" applyFont="1"/>
    <xf numFmtId="0" fontId="4" fillId="0" borderId="0" xfId="0" applyFont="1"/>
    <xf numFmtId="0" fontId="0" fillId="0" borderId="0" xfId="0" applyAlignment="1">
      <alignment horizontal="right" vertical="center"/>
    </xf>
    <xf numFmtId="0" fontId="15" fillId="0" borderId="0" xfId="0" applyFont="1"/>
    <xf numFmtId="0" fontId="17" fillId="0" borderId="0" xfId="0" applyFont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 indent="1"/>
    </xf>
    <xf numFmtId="0" fontId="0" fillId="0" borderId="0" xfId="0"/>
    <xf numFmtId="0" fontId="18" fillId="0" borderId="0" xfId="0" applyFont="1" applyAlignment="1">
      <alignment vertical="top"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0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center" indent="1"/>
    </xf>
    <xf numFmtId="0" fontId="4" fillId="0" borderId="1" xfId="0" applyFont="1" applyBorder="1"/>
    <xf numFmtId="0" fontId="14" fillId="4" borderId="0" xfId="0" applyFont="1" applyFill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8" fillId="9" borderId="1" xfId="0" applyFont="1" applyFill="1" applyBorder="1" applyAlignment="1">
      <alignment horizontal="right" vertical="center" indent="1"/>
    </xf>
    <xf numFmtId="0" fontId="0" fillId="0" borderId="1" xfId="0" applyBorder="1"/>
    <xf numFmtId="0" fontId="2" fillId="3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workbookViewId="0">
      <selection sqref="A1:F1"/>
    </sheetView>
  </sheetViews>
  <sheetFormatPr defaultRowHeight="14.4" x14ac:dyDescent="0.3"/>
  <cols>
    <col min="1" max="1" width="30" customWidth="1"/>
    <col min="2" max="2" width="8" customWidth="1"/>
    <col min="3" max="3" width="12" customWidth="1"/>
    <col min="4" max="4" width="14" customWidth="1"/>
    <col min="5" max="5" width="12" customWidth="1"/>
    <col min="6" max="6" width="14" customWidth="1"/>
  </cols>
  <sheetData>
    <row r="1" spans="1:6" ht="40.049999999999997" customHeight="1" x14ac:dyDescent="0.3">
      <c r="A1" s="43" t="s">
        <v>0</v>
      </c>
      <c r="B1" s="39"/>
      <c r="C1" s="39"/>
      <c r="D1" s="39"/>
      <c r="E1" s="39"/>
      <c r="F1" s="39"/>
    </row>
    <row r="2" spans="1:6" ht="22.05" customHeight="1" x14ac:dyDescent="0.3">
      <c r="A2" s="38" t="s">
        <v>1</v>
      </c>
      <c r="B2" s="39"/>
      <c r="C2" s="39"/>
      <c r="D2" s="39"/>
      <c r="E2" s="39"/>
      <c r="F2" s="39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3">
        <v>34</v>
      </c>
      <c r="C5" s="3">
        <v>227</v>
      </c>
      <c r="D5" s="3">
        <v>105.5</v>
      </c>
      <c r="E5" s="3">
        <v>332.5</v>
      </c>
      <c r="F5" s="3">
        <v>55.5</v>
      </c>
    </row>
    <row r="6" spans="1:6" x14ac:dyDescent="0.3">
      <c r="A6" s="2" t="s">
        <v>9</v>
      </c>
      <c r="B6" s="3">
        <v>8</v>
      </c>
      <c r="C6" s="3">
        <v>112</v>
      </c>
      <c r="D6" s="3">
        <v>39</v>
      </c>
      <c r="E6" s="3">
        <v>151</v>
      </c>
      <c r="F6" s="3">
        <v>25</v>
      </c>
    </row>
    <row r="7" spans="1:6" x14ac:dyDescent="0.3">
      <c r="A7" s="2" t="s">
        <v>10</v>
      </c>
      <c r="B7" s="3">
        <v>13</v>
      </c>
      <c r="C7" s="3">
        <v>228</v>
      </c>
      <c r="D7" s="3">
        <v>71</v>
      </c>
      <c r="E7" s="3">
        <v>299</v>
      </c>
      <c r="F7" s="3">
        <v>50</v>
      </c>
    </row>
    <row r="8" spans="1:6" x14ac:dyDescent="0.3">
      <c r="A8" s="2" t="s">
        <v>11</v>
      </c>
      <c r="B8" s="3">
        <v>44</v>
      </c>
      <c r="C8" s="3">
        <v>518</v>
      </c>
      <c r="D8" s="3">
        <v>199</v>
      </c>
      <c r="E8" s="3">
        <v>717</v>
      </c>
      <c r="F8" s="3">
        <v>119.5</v>
      </c>
    </row>
    <row r="9" spans="1:6" x14ac:dyDescent="0.3">
      <c r="A9" s="2" t="s">
        <v>12</v>
      </c>
      <c r="B9" s="3">
        <v>10</v>
      </c>
      <c r="C9" s="3">
        <v>142</v>
      </c>
      <c r="D9" s="3">
        <v>48</v>
      </c>
      <c r="E9" s="3">
        <v>190</v>
      </c>
      <c r="F9" s="3">
        <v>31.5</v>
      </c>
    </row>
    <row r="10" spans="1:6" x14ac:dyDescent="0.3">
      <c r="A10" s="2" t="s">
        <v>13</v>
      </c>
      <c r="B10" s="3">
        <v>37</v>
      </c>
      <c r="C10" s="3">
        <v>518</v>
      </c>
      <c r="D10" s="3">
        <v>125</v>
      </c>
      <c r="E10" s="3">
        <v>643</v>
      </c>
      <c r="F10" s="3">
        <v>107</v>
      </c>
    </row>
    <row r="11" spans="1:6" x14ac:dyDescent="0.3">
      <c r="A11" s="4" t="s">
        <v>14</v>
      </c>
      <c r="B11" s="5">
        <v>146</v>
      </c>
      <c r="C11" s="5">
        <v>1745</v>
      </c>
      <c r="D11" s="5">
        <v>587.5</v>
      </c>
      <c r="E11" s="5">
        <v>2332.5</v>
      </c>
      <c r="F11" s="5">
        <v>389</v>
      </c>
    </row>
    <row r="12" spans="1:6" x14ac:dyDescent="0.3">
      <c r="A12" s="6" t="s">
        <v>15</v>
      </c>
      <c r="B12" s="7"/>
      <c r="C12" s="7"/>
      <c r="D12" s="7"/>
      <c r="E12" s="7">
        <v>349.875</v>
      </c>
      <c r="F12" s="7">
        <v>58.5</v>
      </c>
    </row>
    <row r="13" spans="1:6" ht="15.6" x14ac:dyDescent="0.3">
      <c r="A13" s="8" t="s">
        <v>16</v>
      </c>
      <c r="B13" s="9"/>
      <c r="C13" s="9"/>
      <c r="D13" s="9"/>
      <c r="E13" s="9">
        <v>2682.375</v>
      </c>
      <c r="F13" s="9">
        <v>447</v>
      </c>
    </row>
    <row r="15" spans="1:6" ht="19.95" customHeight="1" x14ac:dyDescent="0.3">
      <c r="A15" s="46" t="s">
        <v>17</v>
      </c>
      <c r="B15" s="39"/>
      <c r="C15" s="39"/>
      <c r="D15" s="39"/>
      <c r="E15" s="39"/>
      <c r="F15" s="39"/>
    </row>
    <row r="16" spans="1:6" ht="41.4" x14ac:dyDescent="0.3">
      <c r="A16" s="10" t="s">
        <v>18</v>
      </c>
      <c r="B16" s="10" t="s">
        <v>19</v>
      </c>
      <c r="C16" s="10" t="s">
        <v>20</v>
      </c>
      <c r="D16" s="10" t="s">
        <v>21</v>
      </c>
      <c r="E16" s="41" t="s">
        <v>22</v>
      </c>
      <c r="F16" s="42"/>
    </row>
    <row r="17" spans="1:6" x14ac:dyDescent="0.3">
      <c r="A17" s="11">
        <v>1</v>
      </c>
      <c r="B17" s="12">
        <v>447</v>
      </c>
      <c r="C17" s="12">
        <v>447</v>
      </c>
      <c r="D17" s="12">
        <v>21.3</v>
      </c>
      <c r="E17" s="44" t="s">
        <v>23</v>
      </c>
      <c r="F17" s="45"/>
    </row>
    <row r="18" spans="1:6" x14ac:dyDescent="0.3">
      <c r="A18" s="11">
        <v>2</v>
      </c>
      <c r="B18" s="12">
        <v>447</v>
      </c>
      <c r="C18" s="12">
        <v>223.5</v>
      </c>
      <c r="D18" s="12">
        <v>10.6</v>
      </c>
      <c r="E18" s="44" t="s">
        <v>24</v>
      </c>
      <c r="F18" s="45"/>
    </row>
    <row r="19" spans="1:6" x14ac:dyDescent="0.3">
      <c r="A19" s="11">
        <v>3</v>
      </c>
      <c r="B19" s="12">
        <v>447</v>
      </c>
      <c r="C19" s="12">
        <v>149</v>
      </c>
      <c r="D19" s="12">
        <v>7.1</v>
      </c>
      <c r="E19" s="44" t="s">
        <v>25</v>
      </c>
      <c r="F19" s="45"/>
    </row>
    <row r="21" spans="1:6" ht="15.6" x14ac:dyDescent="0.3">
      <c r="A21" s="46" t="s">
        <v>26</v>
      </c>
      <c r="B21" s="39"/>
      <c r="C21" s="39"/>
      <c r="D21" s="39"/>
      <c r="E21" s="39"/>
      <c r="F21" s="39"/>
    </row>
    <row r="22" spans="1:6" x14ac:dyDescent="0.3">
      <c r="A22" s="13" t="s">
        <v>27</v>
      </c>
      <c r="B22" s="14">
        <v>0</v>
      </c>
      <c r="C22" s="15" t="s">
        <v>28</v>
      </c>
    </row>
    <row r="23" spans="1:6" x14ac:dyDescent="0.3">
      <c r="A23" s="16" t="s">
        <v>29</v>
      </c>
      <c r="B23" s="17">
        <v>447</v>
      </c>
    </row>
    <row r="24" spans="1:6" ht="15.6" x14ac:dyDescent="0.3">
      <c r="A24" s="18" t="s">
        <v>30</v>
      </c>
      <c r="B24" s="19">
        <f>B22*B23</f>
        <v>0</v>
      </c>
    </row>
    <row r="26" spans="1:6" ht="15.6" x14ac:dyDescent="0.3">
      <c r="A26" s="46" t="s">
        <v>31</v>
      </c>
      <c r="B26" s="39"/>
      <c r="C26" s="39"/>
      <c r="D26" s="39"/>
      <c r="E26" s="39"/>
      <c r="F26" s="39"/>
    </row>
    <row r="27" spans="1:6" ht="28.05" customHeight="1" x14ac:dyDescent="0.3">
      <c r="A27" s="40" t="s">
        <v>32</v>
      </c>
      <c r="B27" s="39"/>
      <c r="C27" s="39"/>
      <c r="D27" s="39"/>
      <c r="E27" s="39"/>
      <c r="F27" s="39"/>
    </row>
    <row r="28" spans="1:6" ht="28.05" customHeight="1" x14ac:dyDescent="0.3">
      <c r="A28" s="40" t="s">
        <v>33</v>
      </c>
      <c r="B28" s="39"/>
      <c r="C28" s="39"/>
      <c r="D28" s="39"/>
      <c r="E28" s="39"/>
      <c r="F28" s="39"/>
    </row>
    <row r="29" spans="1:6" ht="28.05" customHeight="1" x14ac:dyDescent="0.3">
      <c r="A29" s="40" t="s">
        <v>34</v>
      </c>
      <c r="B29" s="39"/>
      <c r="C29" s="39"/>
      <c r="D29" s="39"/>
      <c r="E29" s="39"/>
      <c r="F29" s="39"/>
    </row>
    <row r="30" spans="1:6" ht="28.05" customHeight="1" x14ac:dyDescent="0.3">
      <c r="A30" s="40" t="s">
        <v>35</v>
      </c>
      <c r="B30" s="39"/>
      <c r="C30" s="39"/>
      <c r="D30" s="39"/>
      <c r="E30" s="39"/>
      <c r="F30" s="39"/>
    </row>
    <row r="31" spans="1:6" ht="28.05" customHeight="1" x14ac:dyDescent="0.3">
      <c r="A31" s="40" t="s">
        <v>36</v>
      </c>
      <c r="B31" s="39"/>
      <c r="C31" s="39"/>
      <c r="D31" s="39"/>
      <c r="E31" s="39"/>
      <c r="F31" s="39"/>
    </row>
    <row r="32" spans="1:6" ht="28.05" customHeight="1" x14ac:dyDescent="0.3">
      <c r="A32" s="40" t="s">
        <v>37</v>
      </c>
      <c r="B32" s="39"/>
      <c r="C32" s="39"/>
      <c r="D32" s="39"/>
      <c r="E32" s="39"/>
      <c r="F32" s="39"/>
    </row>
    <row r="33" spans="1:6" ht="28.05" customHeight="1" x14ac:dyDescent="0.3">
      <c r="A33" s="40" t="s">
        <v>38</v>
      </c>
      <c r="B33" s="39"/>
      <c r="C33" s="39"/>
      <c r="D33" s="39"/>
      <c r="E33" s="39"/>
      <c r="F33" s="39"/>
    </row>
    <row r="34" spans="1:6" ht="28.05" customHeight="1" x14ac:dyDescent="0.3">
      <c r="A34" s="40" t="s">
        <v>39</v>
      </c>
      <c r="B34" s="39"/>
      <c r="C34" s="39"/>
      <c r="D34" s="39"/>
      <c r="E34" s="39"/>
      <c r="F34" s="39"/>
    </row>
  </sheetData>
  <mergeCells count="17">
    <mergeCell ref="A34:F34"/>
    <mergeCell ref="A26:F26"/>
    <mergeCell ref="E17:F17"/>
    <mergeCell ref="E18:F18"/>
    <mergeCell ref="A21:F21"/>
    <mergeCell ref="A1:F1"/>
    <mergeCell ref="E19:F19"/>
    <mergeCell ref="A29:F29"/>
    <mergeCell ref="A27:F27"/>
    <mergeCell ref="A31:F31"/>
    <mergeCell ref="A15:F15"/>
    <mergeCell ref="A2:F2"/>
    <mergeCell ref="A33:F33"/>
    <mergeCell ref="A30:F30"/>
    <mergeCell ref="A28:F28"/>
    <mergeCell ref="E16:F16"/>
    <mergeCell ref="A32:F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40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41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50</v>
      </c>
      <c r="C5" s="22" t="s">
        <v>51</v>
      </c>
      <c r="D5" s="23" t="s">
        <v>52</v>
      </c>
      <c r="E5" s="24" t="s">
        <v>53</v>
      </c>
      <c r="F5" s="25" t="s">
        <v>54</v>
      </c>
      <c r="G5" s="26">
        <v>5</v>
      </c>
      <c r="H5" s="26">
        <v>2.5</v>
      </c>
      <c r="I5" s="26">
        <v>7.5</v>
      </c>
      <c r="J5" s="26">
        <v>1</v>
      </c>
    </row>
    <row r="6" spans="1:10" ht="30" customHeight="1" x14ac:dyDescent="0.3">
      <c r="A6" s="20">
        <v>2</v>
      </c>
      <c r="B6" s="21" t="s">
        <v>50</v>
      </c>
      <c r="C6" s="22" t="s">
        <v>55</v>
      </c>
      <c r="D6" s="23" t="s">
        <v>56</v>
      </c>
      <c r="E6" s="27" t="s">
        <v>57</v>
      </c>
      <c r="F6" s="25" t="s">
        <v>54</v>
      </c>
      <c r="G6" s="26">
        <v>2.5</v>
      </c>
      <c r="H6" s="26">
        <v>2</v>
      </c>
      <c r="I6" s="26">
        <v>4.5</v>
      </c>
      <c r="J6" s="26">
        <v>1</v>
      </c>
    </row>
    <row r="7" spans="1:10" ht="30" customHeight="1" x14ac:dyDescent="0.3">
      <c r="A7" s="20">
        <v>3</v>
      </c>
      <c r="B7" s="21" t="s">
        <v>50</v>
      </c>
      <c r="C7" s="22" t="s">
        <v>58</v>
      </c>
      <c r="D7" s="23" t="s">
        <v>59</v>
      </c>
      <c r="E7" s="24" t="s">
        <v>53</v>
      </c>
      <c r="F7" s="25" t="s">
        <v>54</v>
      </c>
      <c r="G7" s="26">
        <v>3</v>
      </c>
      <c r="H7" s="26">
        <v>2</v>
      </c>
      <c r="I7" s="26">
        <v>5</v>
      </c>
      <c r="J7" s="26">
        <v>1</v>
      </c>
    </row>
    <row r="8" spans="1:10" ht="30" customHeight="1" x14ac:dyDescent="0.3">
      <c r="A8" s="20">
        <v>4</v>
      </c>
      <c r="B8" s="21" t="s">
        <v>50</v>
      </c>
      <c r="C8" s="22" t="s">
        <v>60</v>
      </c>
      <c r="D8" s="23" t="s">
        <v>61</v>
      </c>
      <c r="E8" s="27" t="s">
        <v>57</v>
      </c>
      <c r="F8" s="25" t="s">
        <v>54</v>
      </c>
      <c r="G8" s="26">
        <v>3</v>
      </c>
      <c r="H8" s="26">
        <v>2</v>
      </c>
      <c r="I8" s="26">
        <v>5</v>
      </c>
      <c r="J8" s="26">
        <v>1</v>
      </c>
    </row>
    <row r="9" spans="1:10" ht="30" customHeight="1" x14ac:dyDescent="0.3">
      <c r="A9" s="11">
        <v>5</v>
      </c>
      <c r="B9" s="28" t="s">
        <v>62</v>
      </c>
      <c r="C9" s="29" t="s">
        <v>63</v>
      </c>
      <c r="D9" s="30" t="s">
        <v>64</v>
      </c>
      <c r="E9" s="31" t="s">
        <v>65</v>
      </c>
      <c r="F9" s="32" t="s">
        <v>66</v>
      </c>
      <c r="G9" s="12">
        <v>9.5</v>
      </c>
      <c r="H9" s="12">
        <v>3.5</v>
      </c>
      <c r="I9" s="12">
        <v>13</v>
      </c>
      <c r="J9" s="12">
        <v>2</v>
      </c>
    </row>
    <row r="10" spans="1:10" ht="30" customHeight="1" x14ac:dyDescent="0.3">
      <c r="A10" s="11">
        <v>6</v>
      </c>
      <c r="B10" s="28" t="s">
        <v>62</v>
      </c>
      <c r="C10" s="29" t="s">
        <v>67</v>
      </c>
      <c r="D10" s="30" t="s">
        <v>68</v>
      </c>
      <c r="E10" s="24" t="s">
        <v>53</v>
      </c>
      <c r="F10" s="32" t="s">
        <v>66</v>
      </c>
      <c r="G10" s="12">
        <v>7</v>
      </c>
      <c r="H10" s="12">
        <v>3</v>
      </c>
      <c r="I10" s="12">
        <v>10</v>
      </c>
      <c r="J10" s="12">
        <v>1.5</v>
      </c>
    </row>
    <row r="11" spans="1:10" ht="30" customHeight="1" x14ac:dyDescent="0.3">
      <c r="A11" s="11">
        <v>7</v>
      </c>
      <c r="B11" s="28" t="s">
        <v>62</v>
      </c>
      <c r="C11" s="29" t="s">
        <v>69</v>
      </c>
      <c r="D11" s="30" t="s">
        <v>70</v>
      </c>
      <c r="E11" s="27" t="s">
        <v>57</v>
      </c>
      <c r="F11" s="33" t="s">
        <v>54</v>
      </c>
      <c r="G11" s="12">
        <v>3.5</v>
      </c>
      <c r="H11" s="12">
        <v>2</v>
      </c>
      <c r="I11" s="12">
        <v>5.5</v>
      </c>
      <c r="J11" s="12">
        <v>1</v>
      </c>
    </row>
    <row r="12" spans="1:10" ht="30" customHeight="1" x14ac:dyDescent="0.3">
      <c r="A12" s="11">
        <v>8</v>
      </c>
      <c r="B12" s="28" t="s">
        <v>62</v>
      </c>
      <c r="C12" s="29" t="s">
        <v>71</v>
      </c>
      <c r="D12" s="30" t="s">
        <v>72</v>
      </c>
      <c r="E12" s="31" t="s">
        <v>65</v>
      </c>
      <c r="F12" s="32" t="s">
        <v>66</v>
      </c>
      <c r="G12" s="12">
        <v>7</v>
      </c>
      <c r="H12" s="12">
        <v>3</v>
      </c>
      <c r="I12" s="12">
        <v>10</v>
      </c>
      <c r="J12" s="12">
        <v>1.5</v>
      </c>
    </row>
    <row r="13" spans="1:10" ht="30" customHeight="1" x14ac:dyDescent="0.3">
      <c r="A13" s="11">
        <v>9</v>
      </c>
      <c r="B13" s="28" t="s">
        <v>62</v>
      </c>
      <c r="C13" s="29" t="s">
        <v>73</v>
      </c>
      <c r="D13" s="30" t="s">
        <v>74</v>
      </c>
      <c r="E13" s="24" t="s">
        <v>53</v>
      </c>
      <c r="F13" s="33" t="s">
        <v>54</v>
      </c>
      <c r="G13" s="12">
        <v>5</v>
      </c>
      <c r="H13" s="12">
        <v>2.5</v>
      </c>
      <c r="I13" s="12">
        <v>7.5</v>
      </c>
      <c r="J13" s="12">
        <v>1</v>
      </c>
    </row>
    <row r="14" spans="1:10" ht="30" customHeight="1" x14ac:dyDescent="0.3">
      <c r="A14" s="11">
        <v>10</v>
      </c>
      <c r="B14" s="28" t="s">
        <v>62</v>
      </c>
      <c r="C14" s="29" t="s">
        <v>75</v>
      </c>
      <c r="D14" s="30" t="s">
        <v>76</v>
      </c>
      <c r="E14" s="31" t="s">
        <v>65</v>
      </c>
      <c r="F14" s="32" t="s">
        <v>66</v>
      </c>
      <c r="G14" s="12">
        <v>9.5</v>
      </c>
      <c r="H14" s="12">
        <v>3.5</v>
      </c>
      <c r="I14" s="12">
        <v>13</v>
      </c>
      <c r="J14" s="12">
        <v>2</v>
      </c>
    </row>
    <row r="15" spans="1:10" ht="30" customHeight="1" x14ac:dyDescent="0.3">
      <c r="A15" s="11">
        <v>11</v>
      </c>
      <c r="B15" s="28" t="s">
        <v>62</v>
      </c>
      <c r="C15" s="29" t="s">
        <v>77</v>
      </c>
      <c r="D15" s="30" t="s">
        <v>78</v>
      </c>
      <c r="E15" s="24" t="s">
        <v>53</v>
      </c>
      <c r="F15" s="32" t="s">
        <v>66</v>
      </c>
      <c r="G15" s="12">
        <v>6</v>
      </c>
      <c r="H15" s="12">
        <v>2.5</v>
      </c>
      <c r="I15" s="12">
        <v>8.5</v>
      </c>
      <c r="J15" s="12">
        <v>1.5</v>
      </c>
    </row>
    <row r="16" spans="1:10" ht="30" customHeight="1" x14ac:dyDescent="0.3">
      <c r="A16" s="11">
        <v>12</v>
      </c>
      <c r="B16" s="28" t="s">
        <v>62</v>
      </c>
      <c r="C16" s="29" t="s">
        <v>79</v>
      </c>
      <c r="D16" s="30" t="s">
        <v>80</v>
      </c>
      <c r="E16" s="24" t="s">
        <v>53</v>
      </c>
      <c r="F16" s="33" t="s">
        <v>54</v>
      </c>
      <c r="G16" s="12">
        <v>6</v>
      </c>
      <c r="H16" s="12">
        <v>2.5</v>
      </c>
      <c r="I16" s="12">
        <v>8.5</v>
      </c>
      <c r="J16" s="12">
        <v>1.5</v>
      </c>
    </row>
    <row r="17" spans="1:10" ht="30" customHeight="1" x14ac:dyDescent="0.3">
      <c r="A17" s="11">
        <v>13</v>
      </c>
      <c r="B17" s="28" t="s">
        <v>62</v>
      </c>
      <c r="C17" s="29" t="s">
        <v>81</v>
      </c>
      <c r="D17" s="30" t="s">
        <v>82</v>
      </c>
      <c r="E17" s="24" t="s">
        <v>53</v>
      </c>
      <c r="F17" s="33" t="s">
        <v>54</v>
      </c>
      <c r="G17" s="12">
        <v>3.5</v>
      </c>
      <c r="H17" s="12">
        <v>5</v>
      </c>
      <c r="I17" s="12">
        <v>8.5</v>
      </c>
      <c r="J17" s="12">
        <v>1.5</v>
      </c>
    </row>
    <row r="18" spans="1:10" ht="30" customHeight="1" x14ac:dyDescent="0.3">
      <c r="A18" s="11">
        <v>14</v>
      </c>
      <c r="B18" s="28" t="s">
        <v>62</v>
      </c>
      <c r="C18" s="29" t="s">
        <v>83</v>
      </c>
      <c r="D18" s="30" t="s">
        <v>84</v>
      </c>
      <c r="E18" s="34" t="s">
        <v>85</v>
      </c>
      <c r="F18" s="32" t="s">
        <v>66</v>
      </c>
      <c r="G18" s="12">
        <v>12</v>
      </c>
      <c r="H18" s="12">
        <v>3.5</v>
      </c>
      <c r="I18" s="12">
        <v>15.5</v>
      </c>
      <c r="J18" s="12">
        <v>2.5</v>
      </c>
    </row>
    <row r="19" spans="1:10" ht="30" customHeight="1" x14ac:dyDescent="0.3">
      <c r="A19" s="11">
        <v>15</v>
      </c>
      <c r="B19" s="28" t="s">
        <v>62</v>
      </c>
      <c r="C19" s="29" t="s">
        <v>86</v>
      </c>
      <c r="D19" s="30" t="s">
        <v>87</v>
      </c>
      <c r="E19" s="27" t="s">
        <v>57</v>
      </c>
      <c r="F19" s="33" t="s">
        <v>54</v>
      </c>
      <c r="G19" s="12">
        <v>3.5</v>
      </c>
      <c r="H19" s="12">
        <v>2</v>
      </c>
      <c r="I19" s="12">
        <v>5.5</v>
      </c>
      <c r="J19" s="12">
        <v>1</v>
      </c>
    </row>
    <row r="20" spans="1:10" ht="30" customHeight="1" x14ac:dyDescent="0.3">
      <c r="A20" s="11">
        <v>16</v>
      </c>
      <c r="B20" s="28" t="s">
        <v>62</v>
      </c>
      <c r="C20" s="29" t="s">
        <v>88</v>
      </c>
      <c r="D20" s="30" t="s">
        <v>89</v>
      </c>
      <c r="E20" s="34" t="s">
        <v>85</v>
      </c>
      <c r="F20" s="32" t="s">
        <v>66</v>
      </c>
      <c r="G20" s="12">
        <v>14.5</v>
      </c>
      <c r="H20" s="12">
        <v>5</v>
      </c>
      <c r="I20" s="12">
        <v>19.5</v>
      </c>
      <c r="J20" s="12">
        <v>3</v>
      </c>
    </row>
    <row r="21" spans="1:10" ht="30" customHeight="1" x14ac:dyDescent="0.3">
      <c r="A21" s="11">
        <v>17</v>
      </c>
      <c r="B21" s="28" t="s">
        <v>62</v>
      </c>
      <c r="C21" s="29" t="s">
        <v>90</v>
      </c>
      <c r="D21" s="30" t="s">
        <v>91</v>
      </c>
      <c r="E21" s="34" t="s">
        <v>85</v>
      </c>
      <c r="F21" s="32" t="s">
        <v>66</v>
      </c>
      <c r="G21" s="12">
        <v>12</v>
      </c>
      <c r="H21" s="12">
        <v>3.5</v>
      </c>
      <c r="I21" s="12">
        <v>15.5</v>
      </c>
      <c r="J21" s="12">
        <v>2.5</v>
      </c>
    </row>
    <row r="22" spans="1:10" ht="30" customHeight="1" x14ac:dyDescent="0.3">
      <c r="A22" s="20">
        <v>18</v>
      </c>
      <c r="B22" s="21" t="s">
        <v>92</v>
      </c>
      <c r="C22" s="22" t="s">
        <v>93</v>
      </c>
      <c r="D22" s="23" t="s">
        <v>94</v>
      </c>
      <c r="E22" s="24" t="s">
        <v>53</v>
      </c>
      <c r="F22" s="35" t="s">
        <v>66</v>
      </c>
      <c r="G22" s="26">
        <v>3.5</v>
      </c>
      <c r="H22" s="26">
        <v>6</v>
      </c>
      <c r="I22" s="26">
        <v>9.5</v>
      </c>
      <c r="J22" s="26">
        <v>1.5</v>
      </c>
    </row>
    <row r="23" spans="1:10" ht="30" customHeight="1" x14ac:dyDescent="0.3">
      <c r="A23" s="20">
        <v>19</v>
      </c>
      <c r="B23" s="21" t="s">
        <v>92</v>
      </c>
      <c r="C23" s="22" t="s">
        <v>95</v>
      </c>
      <c r="D23" s="23" t="s">
        <v>96</v>
      </c>
      <c r="E23" s="31" t="s">
        <v>65</v>
      </c>
      <c r="F23" s="35" t="s">
        <v>66</v>
      </c>
      <c r="G23" s="26">
        <v>7</v>
      </c>
      <c r="H23" s="26">
        <v>3</v>
      </c>
      <c r="I23" s="26">
        <v>10</v>
      </c>
      <c r="J23" s="26">
        <v>1.5</v>
      </c>
    </row>
    <row r="24" spans="1:10" ht="30" customHeight="1" x14ac:dyDescent="0.3">
      <c r="A24" s="20">
        <v>20</v>
      </c>
      <c r="B24" s="21" t="s">
        <v>92</v>
      </c>
      <c r="C24" s="22" t="s">
        <v>97</v>
      </c>
      <c r="D24" s="23" t="s">
        <v>98</v>
      </c>
      <c r="E24" s="24" t="s">
        <v>53</v>
      </c>
      <c r="F24" s="35" t="s">
        <v>66</v>
      </c>
      <c r="G24" s="26">
        <v>5</v>
      </c>
      <c r="H24" s="26">
        <v>2.5</v>
      </c>
      <c r="I24" s="26">
        <v>7.5</v>
      </c>
      <c r="J24" s="26">
        <v>1</v>
      </c>
    </row>
    <row r="25" spans="1:10" ht="30" customHeight="1" x14ac:dyDescent="0.3">
      <c r="A25" s="11">
        <v>21</v>
      </c>
      <c r="B25" s="28" t="s">
        <v>99</v>
      </c>
      <c r="C25" s="29" t="s">
        <v>100</v>
      </c>
      <c r="D25" s="30" t="s">
        <v>101</v>
      </c>
      <c r="E25" s="24" t="s">
        <v>53</v>
      </c>
      <c r="F25" s="32" t="s">
        <v>66</v>
      </c>
      <c r="G25" s="12">
        <v>3.5</v>
      </c>
      <c r="H25" s="12">
        <v>5</v>
      </c>
      <c r="I25" s="12">
        <v>8.5</v>
      </c>
      <c r="J25" s="12">
        <v>1.5</v>
      </c>
    </row>
    <row r="26" spans="1:10" ht="30" customHeight="1" x14ac:dyDescent="0.3">
      <c r="A26" s="11">
        <v>22</v>
      </c>
      <c r="B26" s="28" t="s">
        <v>99</v>
      </c>
      <c r="C26" s="29" t="s">
        <v>102</v>
      </c>
      <c r="D26" s="30" t="s">
        <v>103</v>
      </c>
      <c r="E26" s="24" t="s">
        <v>53</v>
      </c>
      <c r="F26" s="32" t="s">
        <v>66</v>
      </c>
      <c r="G26" s="12">
        <v>3.5</v>
      </c>
      <c r="H26" s="12">
        <v>2</v>
      </c>
      <c r="I26" s="12">
        <v>5.5</v>
      </c>
      <c r="J26" s="12">
        <v>1</v>
      </c>
    </row>
    <row r="27" spans="1:10" ht="30" customHeight="1" x14ac:dyDescent="0.3">
      <c r="A27" s="11">
        <v>23</v>
      </c>
      <c r="B27" s="28" t="s">
        <v>99</v>
      </c>
      <c r="C27" s="29" t="s">
        <v>104</v>
      </c>
      <c r="D27" s="30" t="s">
        <v>105</v>
      </c>
      <c r="E27" s="31" t="s">
        <v>65</v>
      </c>
      <c r="F27" s="33" t="s">
        <v>54</v>
      </c>
      <c r="G27" s="12">
        <v>8.5</v>
      </c>
      <c r="H27" s="12">
        <v>3</v>
      </c>
      <c r="I27" s="12">
        <v>11.5</v>
      </c>
      <c r="J27" s="12">
        <v>2</v>
      </c>
    </row>
    <row r="28" spans="1:10" ht="30" customHeight="1" x14ac:dyDescent="0.3">
      <c r="A28" s="20">
        <v>24</v>
      </c>
      <c r="B28" s="21" t="s">
        <v>106</v>
      </c>
      <c r="C28" s="22" t="s">
        <v>107</v>
      </c>
      <c r="D28" s="23" t="s">
        <v>108</v>
      </c>
      <c r="E28" s="31" t="s">
        <v>65</v>
      </c>
      <c r="F28" s="35" t="s">
        <v>66</v>
      </c>
      <c r="G28" s="26">
        <v>12</v>
      </c>
      <c r="H28" s="26">
        <v>5</v>
      </c>
      <c r="I28" s="26">
        <v>17</v>
      </c>
      <c r="J28" s="26">
        <v>3</v>
      </c>
    </row>
    <row r="29" spans="1:10" ht="30" customHeight="1" x14ac:dyDescent="0.3">
      <c r="A29" s="20">
        <v>25</v>
      </c>
      <c r="B29" s="21" t="s">
        <v>106</v>
      </c>
      <c r="C29" s="22" t="s">
        <v>109</v>
      </c>
      <c r="D29" s="23" t="s">
        <v>110</v>
      </c>
      <c r="E29" s="31" t="s">
        <v>65</v>
      </c>
      <c r="F29" s="35" t="s">
        <v>66</v>
      </c>
      <c r="G29" s="26">
        <v>9.5</v>
      </c>
      <c r="H29" s="26">
        <v>3.5</v>
      </c>
      <c r="I29" s="26">
        <v>13</v>
      </c>
      <c r="J29" s="26">
        <v>2</v>
      </c>
    </row>
    <row r="30" spans="1:10" ht="30" customHeight="1" x14ac:dyDescent="0.3">
      <c r="A30" s="20">
        <v>26</v>
      </c>
      <c r="B30" s="21" t="s">
        <v>106</v>
      </c>
      <c r="C30" s="22" t="s">
        <v>111</v>
      </c>
      <c r="D30" s="23" t="s">
        <v>112</v>
      </c>
      <c r="E30" s="24" t="s">
        <v>53</v>
      </c>
      <c r="F30" s="25" t="s">
        <v>54</v>
      </c>
      <c r="G30" s="26">
        <v>5</v>
      </c>
      <c r="H30" s="26">
        <v>2.5</v>
      </c>
      <c r="I30" s="26">
        <v>7.5</v>
      </c>
      <c r="J30" s="26">
        <v>1</v>
      </c>
    </row>
    <row r="31" spans="1:10" ht="30" customHeight="1" x14ac:dyDescent="0.3">
      <c r="A31" s="20">
        <v>27</v>
      </c>
      <c r="B31" s="21" t="s">
        <v>106</v>
      </c>
      <c r="C31" s="22" t="s">
        <v>113</v>
      </c>
      <c r="D31" s="23" t="s">
        <v>114</v>
      </c>
      <c r="E31" s="24" t="s">
        <v>53</v>
      </c>
      <c r="F31" s="25" t="s">
        <v>54</v>
      </c>
      <c r="G31" s="26">
        <v>5</v>
      </c>
      <c r="H31" s="26">
        <v>2</v>
      </c>
      <c r="I31" s="26">
        <v>7</v>
      </c>
      <c r="J31" s="26">
        <v>1</v>
      </c>
    </row>
    <row r="32" spans="1:10" ht="30" customHeight="1" x14ac:dyDescent="0.3">
      <c r="A32" s="20">
        <v>28</v>
      </c>
      <c r="B32" s="21" t="s">
        <v>106</v>
      </c>
      <c r="C32" s="22" t="s">
        <v>115</v>
      </c>
      <c r="D32" s="23" t="s">
        <v>116</v>
      </c>
      <c r="E32" s="24" t="s">
        <v>53</v>
      </c>
      <c r="F32" s="25" t="s">
        <v>54</v>
      </c>
      <c r="G32" s="26">
        <v>7</v>
      </c>
      <c r="H32" s="26">
        <v>3</v>
      </c>
      <c r="I32" s="26">
        <v>10</v>
      </c>
      <c r="J32" s="26">
        <v>1.5</v>
      </c>
    </row>
    <row r="33" spans="1:10" ht="30" customHeight="1" x14ac:dyDescent="0.3">
      <c r="A33" s="20">
        <v>29</v>
      </c>
      <c r="B33" s="21" t="s">
        <v>106</v>
      </c>
      <c r="C33" s="22" t="s">
        <v>117</v>
      </c>
      <c r="D33" s="23" t="s">
        <v>118</v>
      </c>
      <c r="E33" s="24" t="s">
        <v>53</v>
      </c>
      <c r="F33" s="35" t="s">
        <v>66</v>
      </c>
      <c r="G33" s="26">
        <v>6</v>
      </c>
      <c r="H33" s="26">
        <v>2.5</v>
      </c>
      <c r="I33" s="26">
        <v>8.5</v>
      </c>
      <c r="J33" s="26">
        <v>1.5</v>
      </c>
    </row>
    <row r="34" spans="1:10" ht="30" customHeight="1" x14ac:dyDescent="0.3">
      <c r="A34" s="11">
        <v>30</v>
      </c>
      <c r="B34" s="28" t="s">
        <v>119</v>
      </c>
      <c r="C34" s="29" t="s">
        <v>120</v>
      </c>
      <c r="D34" s="30" t="s">
        <v>121</v>
      </c>
      <c r="E34" s="34" t="s">
        <v>85</v>
      </c>
      <c r="F34" s="32" t="s">
        <v>66</v>
      </c>
      <c r="G34" s="12">
        <v>14.5</v>
      </c>
      <c r="H34" s="12">
        <v>5</v>
      </c>
      <c r="I34" s="12">
        <v>19.5</v>
      </c>
      <c r="J34" s="12">
        <v>3</v>
      </c>
    </row>
    <row r="35" spans="1:10" ht="30" customHeight="1" x14ac:dyDescent="0.3">
      <c r="A35" s="20">
        <v>31</v>
      </c>
      <c r="B35" s="21" t="s">
        <v>122</v>
      </c>
      <c r="C35" s="22" t="s">
        <v>123</v>
      </c>
      <c r="D35" s="23" t="s">
        <v>124</v>
      </c>
      <c r="E35" s="24" t="s">
        <v>53</v>
      </c>
      <c r="F35" s="25" t="s">
        <v>54</v>
      </c>
      <c r="G35" s="26">
        <v>3</v>
      </c>
      <c r="H35" s="26">
        <v>2.5</v>
      </c>
      <c r="I35" s="26">
        <v>5.5</v>
      </c>
      <c r="J35" s="26">
        <v>1</v>
      </c>
    </row>
    <row r="36" spans="1:10" ht="30" customHeight="1" x14ac:dyDescent="0.3">
      <c r="A36" s="20">
        <v>32</v>
      </c>
      <c r="B36" s="21" t="s">
        <v>122</v>
      </c>
      <c r="C36" s="22" t="s">
        <v>125</v>
      </c>
      <c r="D36" s="23" t="s">
        <v>126</v>
      </c>
      <c r="E36" s="31" t="s">
        <v>65</v>
      </c>
      <c r="F36" s="25" t="s">
        <v>54</v>
      </c>
      <c r="G36" s="26">
        <v>12</v>
      </c>
      <c r="H36" s="26">
        <v>3.5</v>
      </c>
      <c r="I36" s="26">
        <v>15.5</v>
      </c>
      <c r="J36" s="26">
        <v>2.5</v>
      </c>
    </row>
    <row r="37" spans="1:10" ht="30" customHeight="1" x14ac:dyDescent="0.3">
      <c r="A37" s="20">
        <v>33</v>
      </c>
      <c r="B37" s="21" t="s">
        <v>122</v>
      </c>
      <c r="C37" s="22" t="s">
        <v>127</v>
      </c>
      <c r="D37" s="23" t="s">
        <v>128</v>
      </c>
      <c r="E37" s="31" t="s">
        <v>65</v>
      </c>
      <c r="F37" s="25" t="s">
        <v>54</v>
      </c>
      <c r="G37" s="26">
        <v>7</v>
      </c>
      <c r="H37" s="26">
        <v>2.5</v>
      </c>
      <c r="I37" s="26">
        <v>9.5</v>
      </c>
      <c r="J37" s="26">
        <v>1.5</v>
      </c>
    </row>
    <row r="38" spans="1:10" ht="30" customHeight="1" x14ac:dyDescent="0.3">
      <c r="A38" s="20">
        <v>34</v>
      </c>
      <c r="B38" s="21" t="s">
        <v>122</v>
      </c>
      <c r="C38" s="22" t="s">
        <v>129</v>
      </c>
      <c r="D38" s="23" t="s">
        <v>130</v>
      </c>
      <c r="E38" s="27" t="s">
        <v>57</v>
      </c>
      <c r="F38" s="35" t="s">
        <v>66</v>
      </c>
      <c r="G38" s="26">
        <v>2.5</v>
      </c>
      <c r="H38" s="26">
        <v>2</v>
      </c>
      <c r="I38" s="26">
        <v>4.5</v>
      </c>
      <c r="J38" s="26">
        <v>1</v>
      </c>
    </row>
    <row r="39" spans="1:10" ht="22.05" customHeight="1" x14ac:dyDescent="0.3">
      <c r="A39" s="48" t="s">
        <v>131</v>
      </c>
      <c r="B39" s="49"/>
      <c r="C39" s="49"/>
      <c r="D39" s="49"/>
      <c r="E39" s="49"/>
      <c r="F39" s="49"/>
      <c r="G39" s="5">
        <v>227</v>
      </c>
      <c r="H39" s="5">
        <v>105.5</v>
      </c>
      <c r="I39" s="5">
        <v>332.5</v>
      </c>
      <c r="J39" s="5">
        <v>55.5</v>
      </c>
    </row>
  </sheetData>
  <autoFilter ref="A4:J38"/>
  <mergeCells count="3">
    <mergeCell ref="A1:J1"/>
    <mergeCell ref="A39:F3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132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133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134</v>
      </c>
      <c r="C5" s="22" t="s">
        <v>135</v>
      </c>
      <c r="D5" s="23" t="s">
        <v>136</v>
      </c>
      <c r="E5" s="31" t="s">
        <v>65</v>
      </c>
      <c r="F5" s="35" t="s">
        <v>66</v>
      </c>
      <c r="G5" s="26">
        <v>16</v>
      </c>
      <c r="H5" s="26">
        <v>6</v>
      </c>
      <c r="I5" s="26">
        <v>22</v>
      </c>
      <c r="J5" s="26">
        <v>3.5</v>
      </c>
    </row>
    <row r="6" spans="1:10" ht="30" customHeight="1" x14ac:dyDescent="0.3">
      <c r="A6" s="20">
        <v>2</v>
      </c>
      <c r="B6" s="21" t="s">
        <v>134</v>
      </c>
      <c r="C6" s="22" t="s">
        <v>137</v>
      </c>
      <c r="D6" s="23" t="s">
        <v>138</v>
      </c>
      <c r="E6" s="31" t="s">
        <v>65</v>
      </c>
      <c r="F6" s="35" t="s">
        <v>66</v>
      </c>
      <c r="G6" s="26">
        <v>20</v>
      </c>
      <c r="H6" s="26">
        <v>6</v>
      </c>
      <c r="I6" s="26">
        <v>26</v>
      </c>
      <c r="J6" s="26">
        <v>4.5</v>
      </c>
    </row>
    <row r="7" spans="1:10" ht="30" customHeight="1" x14ac:dyDescent="0.3">
      <c r="A7" s="20">
        <v>3</v>
      </c>
      <c r="B7" s="21" t="s">
        <v>134</v>
      </c>
      <c r="C7" s="22" t="s">
        <v>139</v>
      </c>
      <c r="D7" s="23" t="s">
        <v>140</v>
      </c>
      <c r="E7" s="24" t="s">
        <v>53</v>
      </c>
      <c r="F7" s="25" t="s">
        <v>54</v>
      </c>
      <c r="G7" s="26">
        <v>12</v>
      </c>
      <c r="H7" s="26">
        <v>5</v>
      </c>
      <c r="I7" s="26">
        <v>17</v>
      </c>
      <c r="J7" s="26">
        <v>3</v>
      </c>
    </row>
    <row r="8" spans="1:10" ht="30" customHeight="1" x14ac:dyDescent="0.3">
      <c r="A8" s="11">
        <v>4</v>
      </c>
      <c r="B8" s="28" t="s">
        <v>141</v>
      </c>
      <c r="C8" s="29" t="s">
        <v>142</v>
      </c>
      <c r="D8" s="30" t="s">
        <v>143</v>
      </c>
      <c r="E8" s="31" t="s">
        <v>65</v>
      </c>
      <c r="F8" s="32" t="s">
        <v>66</v>
      </c>
      <c r="G8" s="12">
        <v>14</v>
      </c>
      <c r="H8" s="12">
        <v>5</v>
      </c>
      <c r="I8" s="12">
        <v>19</v>
      </c>
      <c r="J8" s="12">
        <v>3</v>
      </c>
    </row>
    <row r="9" spans="1:10" ht="30" customHeight="1" x14ac:dyDescent="0.3">
      <c r="A9" s="11">
        <v>5</v>
      </c>
      <c r="B9" s="28" t="s">
        <v>141</v>
      </c>
      <c r="C9" s="29" t="s">
        <v>144</v>
      </c>
      <c r="D9" s="30" t="s">
        <v>145</v>
      </c>
      <c r="E9" s="31" t="s">
        <v>65</v>
      </c>
      <c r="F9" s="33" t="s">
        <v>54</v>
      </c>
      <c r="G9" s="12">
        <v>16</v>
      </c>
      <c r="H9" s="12">
        <v>5</v>
      </c>
      <c r="I9" s="12">
        <v>21</v>
      </c>
      <c r="J9" s="12">
        <v>3.5</v>
      </c>
    </row>
    <row r="10" spans="1:10" ht="30" customHeight="1" x14ac:dyDescent="0.3">
      <c r="A10" s="11">
        <v>6</v>
      </c>
      <c r="B10" s="28" t="s">
        <v>141</v>
      </c>
      <c r="C10" s="29" t="s">
        <v>146</v>
      </c>
      <c r="D10" s="30" t="s">
        <v>147</v>
      </c>
      <c r="E10" s="27" t="s">
        <v>57</v>
      </c>
      <c r="F10" s="33" t="s">
        <v>54</v>
      </c>
      <c r="G10" s="12">
        <v>6</v>
      </c>
      <c r="H10" s="12">
        <v>3</v>
      </c>
      <c r="I10" s="12">
        <v>9</v>
      </c>
      <c r="J10" s="12">
        <v>1.5</v>
      </c>
    </row>
    <row r="11" spans="1:10" ht="30" customHeight="1" x14ac:dyDescent="0.3">
      <c r="A11" s="20">
        <v>7</v>
      </c>
      <c r="B11" s="21" t="s">
        <v>148</v>
      </c>
      <c r="C11" s="22" t="s">
        <v>149</v>
      </c>
      <c r="D11" s="23" t="s">
        <v>150</v>
      </c>
      <c r="E11" s="31" t="s">
        <v>65</v>
      </c>
      <c r="F11" s="25" t="s">
        <v>54</v>
      </c>
      <c r="G11" s="26">
        <v>16</v>
      </c>
      <c r="H11" s="26">
        <v>5</v>
      </c>
      <c r="I11" s="26">
        <v>21</v>
      </c>
      <c r="J11" s="26">
        <v>3.5</v>
      </c>
    </row>
    <row r="12" spans="1:10" ht="30" customHeight="1" x14ac:dyDescent="0.3">
      <c r="A12" s="20">
        <v>8</v>
      </c>
      <c r="B12" s="21" t="s">
        <v>148</v>
      </c>
      <c r="C12" s="22" t="s">
        <v>151</v>
      </c>
      <c r="D12" s="23" t="s">
        <v>152</v>
      </c>
      <c r="E12" s="24" t="s">
        <v>53</v>
      </c>
      <c r="F12" s="25" t="s">
        <v>54</v>
      </c>
      <c r="G12" s="26">
        <v>12</v>
      </c>
      <c r="H12" s="26">
        <v>4</v>
      </c>
      <c r="I12" s="26">
        <v>16</v>
      </c>
      <c r="J12" s="26">
        <v>2.5</v>
      </c>
    </row>
    <row r="13" spans="1:10" ht="22.05" customHeight="1" x14ac:dyDescent="0.3">
      <c r="A13" s="48" t="s">
        <v>153</v>
      </c>
      <c r="B13" s="49"/>
      <c r="C13" s="49"/>
      <c r="D13" s="49"/>
      <c r="E13" s="49"/>
      <c r="F13" s="49"/>
      <c r="G13" s="5">
        <v>112</v>
      </c>
      <c r="H13" s="5">
        <v>39</v>
      </c>
      <c r="I13" s="5">
        <v>151</v>
      </c>
      <c r="J13" s="5">
        <v>25</v>
      </c>
    </row>
  </sheetData>
  <autoFilter ref="A4:J12"/>
  <mergeCells count="3">
    <mergeCell ref="A13:F13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tabSelected="1" workbookViewId="0">
      <pane ySplit="4" topLeftCell="A5" activePane="bottomLeft" state="frozen"/>
      <selection pane="bottomLeft" sqref="A1:J1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154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155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156</v>
      </c>
      <c r="C5" s="22" t="s">
        <v>157</v>
      </c>
      <c r="D5" s="23" t="s">
        <v>158</v>
      </c>
      <c r="E5" s="31" t="s">
        <v>65</v>
      </c>
      <c r="F5" s="35" t="s">
        <v>66</v>
      </c>
      <c r="G5" s="26">
        <v>16</v>
      </c>
      <c r="H5" s="26">
        <v>5</v>
      </c>
      <c r="I5" s="26">
        <v>21</v>
      </c>
      <c r="J5" s="26">
        <v>3.5</v>
      </c>
    </row>
    <row r="6" spans="1:10" ht="30" customHeight="1" x14ac:dyDescent="0.3">
      <c r="A6" s="20">
        <v>2</v>
      </c>
      <c r="B6" s="21" t="s">
        <v>156</v>
      </c>
      <c r="C6" s="22" t="s">
        <v>159</v>
      </c>
      <c r="D6" s="23" t="s">
        <v>160</v>
      </c>
      <c r="E6" s="24" t="s">
        <v>53</v>
      </c>
      <c r="F6" s="25" t="s">
        <v>54</v>
      </c>
      <c r="G6" s="26">
        <v>8</v>
      </c>
      <c r="H6" s="26">
        <v>3</v>
      </c>
      <c r="I6" s="26">
        <v>11</v>
      </c>
      <c r="J6" s="26">
        <v>2</v>
      </c>
    </row>
    <row r="7" spans="1:10" ht="30" customHeight="1" x14ac:dyDescent="0.3">
      <c r="A7" s="20">
        <v>3</v>
      </c>
      <c r="B7" s="21" t="s">
        <v>156</v>
      </c>
      <c r="C7" s="22" t="s">
        <v>161</v>
      </c>
      <c r="D7" s="23" t="s">
        <v>162</v>
      </c>
      <c r="E7" s="31" t="s">
        <v>65</v>
      </c>
      <c r="F7" s="35" t="s">
        <v>66</v>
      </c>
      <c r="G7" s="26">
        <v>16</v>
      </c>
      <c r="H7" s="26">
        <v>5</v>
      </c>
      <c r="I7" s="26">
        <v>21</v>
      </c>
      <c r="J7" s="26">
        <v>3.5</v>
      </c>
    </row>
    <row r="8" spans="1:10" ht="30" customHeight="1" x14ac:dyDescent="0.3">
      <c r="A8" s="11">
        <v>4</v>
      </c>
      <c r="B8" s="28" t="s">
        <v>163</v>
      </c>
      <c r="C8" s="29" t="s">
        <v>164</v>
      </c>
      <c r="D8" s="30" t="s">
        <v>165</v>
      </c>
      <c r="E8" s="31" t="s">
        <v>65</v>
      </c>
      <c r="F8" s="33" t="s">
        <v>54</v>
      </c>
      <c r="G8" s="12">
        <v>16</v>
      </c>
      <c r="H8" s="12">
        <v>5</v>
      </c>
      <c r="I8" s="12">
        <v>21</v>
      </c>
      <c r="J8" s="12">
        <v>3.5</v>
      </c>
    </row>
    <row r="9" spans="1:10" ht="30" customHeight="1" x14ac:dyDescent="0.3">
      <c r="A9" s="11">
        <v>5</v>
      </c>
      <c r="B9" s="28" t="s">
        <v>163</v>
      </c>
      <c r="C9" s="29" t="s">
        <v>166</v>
      </c>
      <c r="D9" s="30" t="s">
        <v>167</v>
      </c>
      <c r="E9" s="31" t="s">
        <v>65</v>
      </c>
      <c r="F9" s="33" t="s">
        <v>54</v>
      </c>
      <c r="G9" s="12">
        <v>16</v>
      </c>
      <c r="H9" s="12">
        <v>5</v>
      </c>
      <c r="I9" s="12">
        <v>21</v>
      </c>
      <c r="J9" s="12">
        <v>3.5</v>
      </c>
    </row>
    <row r="10" spans="1:10" ht="30" customHeight="1" x14ac:dyDescent="0.3">
      <c r="A10" s="11">
        <v>6</v>
      </c>
      <c r="B10" s="28" t="s">
        <v>163</v>
      </c>
      <c r="C10" s="29" t="s">
        <v>168</v>
      </c>
      <c r="D10" s="30" t="s">
        <v>169</v>
      </c>
      <c r="E10" s="31" t="s">
        <v>65</v>
      </c>
      <c r="F10" s="33" t="s">
        <v>54</v>
      </c>
      <c r="G10" s="12">
        <v>20</v>
      </c>
      <c r="H10" s="12">
        <v>6</v>
      </c>
      <c r="I10" s="12">
        <v>26</v>
      </c>
      <c r="J10" s="12">
        <v>4.5</v>
      </c>
    </row>
    <row r="11" spans="1:10" ht="30" customHeight="1" x14ac:dyDescent="0.3">
      <c r="A11" s="11">
        <v>7</v>
      </c>
      <c r="B11" s="28" t="s">
        <v>163</v>
      </c>
      <c r="C11" s="29" t="s">
        <v>170</v>
      </c>
      <c r="D11" s="30" t="s">
        <v>171</v>
      </c>
      <c r="E11" s="31" t="s">
        <v>65</v>
      </c>
      <c r="F11" s="33" t="s">
        <v>54</v>
      </c>
      <c r="G11" s="12">
        <v>20</v>
      </c>
      <c r="H11" s="12">
        <v>6</v>
      </c>
      <c r="I11" s="12">
        <v>26</v>
      </c>
      <c r="J11" s="12">
        <v>4.5</v>
      </c>
    </row>
    <row r="12" spans="1:10" ht="30" customHeight="1" x14ac:dyDescent="0.3">
      <c r="A12" s="11">
        <v>8</v>
      </c>
      <c r="B12" s="28" t="s">
        <v>163</v>
      </c>
      <c r="C12" s="29" t="s">
        <v>172</v>
      </c>
      <c r="D12" s="30" t="s">
        <v>173</v>
      </c>
      <c r="E12" s="31" t="s">
        <v>65</v>
      </c>
      <c r="F12" s="32" t="s">
        <v>66</v>
      </c>
      <c r="G12" s="12">
        <v>20</v>
      </c>
      <c r="H12" s="12">
        <v>6</v>
      </c>
      <c r="I12" s="12">
        <v>26</v>
      </c>
      <c r="J12" s="12">
        <v>4.5</v>
      </c>
    </row>
    <row r="13" spans="1:10" ht="30" customHeight="1" x14ac:dyDescent="0.3">
      <c r="A13" s="20">
        <v>9</v>
      </c>
      <c r="B13" s="21" t="s">
        <v>174</v>
      </c>
      <c r="C13" s="22" t="s">
        <v>175</v>
      </c>
      <c r="D13" s="23" t="s">
        <v>176</v>
      </c>
      <c r="E13" s="34" t="s">
        <v>85</v>
      </c>
      <c r="F13" s="35" t="s">
        <v>66</v>
      </c>
      <c r="G13" s="26">
        <v>30</v>
      </c>
      <c r="H13" s="26">
        <v>8</v>
      </c>
      <c r="I13" s="26">
        <v>38</v>
      </c>
      <c r="J13" s="26">
        <v>6.5</v>
      </c>
    </row>
    <row r="14" spans="1:10" ht="30" customHeight="1" x14ac:dyDescent="0.3">
      <c r="A14" s="20">
        <v>10</v>
      </c>
      <c r="B14" s="21" t="s">
        <v>174</v>
      </c>
      <c r="C14" s="22" t="s">
        <v>177</v>
      </c>
      <c r="D14" s="23" t="s">
        <v>178</v>
      </c>
      <c r="E14" s="31" t="s">
        <v>65</v>
      </c>
      <c r="F14" s="25" t="s">
        <v>54</v>
      </c>
      <c r="G14" s="26">
        <v>16</v>
      </c>
      <c r="H14" s="26">
        <v>5</v>
      </c>
      <c r="I14" s="26">
        <v>21</v>
      </c>
      <c r="J14" s="26">
        <v>3.5</v>
      </c>
    </row>
    <row r="15" spans="1:10" ht="30" customHeight="1" x14ac:dyDescent="0.3">
      <c r="A15" s="20">
        <v>11</v>
      </c>
      <c r="B15" s="21" t="s">
        <v>174</v>
      </c>
      <c r="C15" s="22" t="s">
        <v>179</v>
      </c>
      <c r="D15" s="23" t="s">
        <v>180</v>
      </c>
      <c r="E15" s="24" t="s">
        <v>53</v>
      </c>
      <c r="F15" s="25" t="s">
        <v>54</v>
      </c>
      <c r="G15" s="26">
        <v>12</v>
      </c>
      <c r="H15" s="26">
        <v>4</v>
      </c>
      <c r="I15" s="26">
        <v>16</v>
      </c>
      <c r="J15" s="26">
        <v>2.5</v>
      </c>
    </row>
    <row r="16" spans="1:10" ht="30" customHeight="1" x14ac:dyDescent="0.3">
      <c r="A16" s="11">
        <v>12</v>
      </c>
      <c r="B16" s="28" t="s">
        <v>181</v>
      </c>
      <c r="C16" s="29" t="s">
        <v>182</v>
      </c>
      <c r="D16" s="30" t="s">
        <v>183</v>
      </c>
      <c r="E16" s="34" t="s">
        <v>85</v>
      </c>
      <c r="F16" s="33" t="s">
        <v>54</v>
      </c>
      <c r="G16" s="12">
        <v>24</v>
      </c>
      <c r="H16" s="12">
        <v>8</v>
      </c>
      <c r="I16" s="12">
        <v>32</v>
      </c>
      <c r="J16" s="12">
        <v>5.5</v>
      </c>
    </row>
    <row r="17" spans="1:10" ht="30" customHeight="1" x14ac:dyDescent="0.3">
      <c r="A17" s="11">
        <v>13</v>
      </c>
      <c r="B17" s="28" t="s">
        <v>181</v>
      </c>
      <c r="C17" s="29" t="s">
        <v>184</v>
      </c>
      <c r="D17" s="30" t="s">
        <v>185</v>
      </c>
      <c r="E17" s="24" t="s">
        <v>53</v>
      </c>
      <c r="F17" s="36" t="s">
        <v>186</v>
      </c>
      <c r="G17" s="12">
        <v>14</v>
      </c>
      <c r="H17" s="12">
        <v>5</v>
      </c>
      <c r="I17" s="12">
        <v>19</v>
      </c>
      <c r="J17" s="12">
        <v>3</v>
      </c>
    </row>
    <row r="18" spans="1:10" ht="22.05" customHeight="1" x14ac:dyDescent="0.3">
      <c r="A18" s="48" t="s">
        <v>187</v>
      </c>
      <c r="B18" s="49"/>
      <c r="C18" s="49"/>
      <c r="D18" s="49"/>
      <c r="E18" s="49"/>
      <c r="F18" s="49"/>
      <c r="G18" s="5">
        <v>228</v>
      </c>
      <c r="H18" s="5">
        <v>71</v>
      </c>
      <c r="I18" s="5">
        <v>299</v>
      </c>
      <c r="J18" s="5">
        <v>50</v>
      </c>
    </row>
  </sheetData>
  <autoFilter ref="A4:J17"/>
  <mergeCells count="3">
    <mergeCell ref="A1:J1"/>
    <mergeCell ref="A18:F18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showGridLines="0" workbookViewId="0">
      <pane ySplit="4" topLeftCell="A5" activePane="bottomLeft" state="frozen"/>
      <selection pane="bottomLeft" sqref="A1:J1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188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189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190</v>
      </c>
      <c r="C5" s="22" t="s">
        <v>191</v>
      </c>
      <c r="D5" s="23" t="s">
        <v>192</v>
      </c>
      <c r="E5" s="24" t="s">
        <v>53</v>
      </c>
      <c r="F5" s="35" t="s">
        <v>66</v>
      </c>
      <c r="G5" s="26">
        <v>6</v>
      </c>
      <c r="H5" s="26">
        <v>8</v>
      </c>
      <c r="I5" s="26">
        <v>14</v>
      </c>
      <c r="J5" s="26">
        <v>2.5</v>
      </c>
    </row>
    <row r="6" spans="1:10" ht="30" customHeight="1" x14ac:dyDescent="0.3">
      <c r="A6" s="20">
        <v>2</v>
      </c>
      <c r="B6" s="21" t="s">
        <v>190</v>
      </c>
      <c r="C6" s="22" t="s">
        <v>193</v>
      </c>
      <c r="D6" s="23" t="s">
        <v>194</v>
      </c>
      <c r="E6" s="24" t="s">
        <v>53</v>
      </c>
      <c r="F6" s="35" t="s">
        <v>66</v>
      </c>
      <c r="G6" s="26">
        <v>6</v>
      </c>
      <c r="H6" s="26">
        <v>6</v>
      </c>
      <c r="I6" s="26">
        <v>12</v>
      </c>
      <c r="J6" s="26">
        <v>2</v>
      </c>
    </row>
    <row r="7" spans="1:10" ht="30" customHeight="1" x14ac:dyDescent="0.3">
      <c r="A7" s="20">
        <v>3</v>
      </c>
      <c r="B7" s="21" t="s">
        <v>190</v>
      </c>
      <c r="C7" s="22" t="s">
        <v>195</v>
      </c>
      <c r="D7" s="23" t="s">
        <v>196</v>
      </c>
      <c r="E7" s="24" t="s">
        <v>53</v>
      </c>
      <c r="F7" s="25" t="s">
        <v>54</v>
      </c>
      <c r="G7" s="26">
        <v>8</v>
      </c>
      <c r="H7" s="26">
        <v>4</v>
      </c>
      <c r="I7" s="26">
        <v>12</v>
      </c>
      <c r="J7" s="26">
        <v>2</v>
      </c>
    </row>
    <row r="8" spans="1:10" ht="30" customHeight="1" x14ac:dyDescent="0.3">
      <c r="A8" s="20">
        <v>4</v>
      </c>
      <c r="B8" s="21" t="s">
        <v>190</v>
      </c>
      <c r="C8" s="22" t="s">
        <v>197</v>
      </c>
      <c r="D8" s="23" t="s">
        <v>198</v>
      </c>
      <c r="E8" s="31" t="s">
        <v>65</v>
      </c>
      <c r="F8" s="35" t="s">
        <v>66</v>
      </c>
      <c r="G8" s="26">
        <v>12</v>
      </c>
      <c r="H8" s="26">
        <v>5</v>
      </c>
      <c r="I8" s="26">
        <v>17</v>
      </c>
      <c r="J8" s="26">
        <v>3</v>
      </c>
    </row>
    <row r="9" spans="1:10" ht="30" customHeight="1" x14ac:dyDescent="0.3">
      <c r="A9" s="20">
        <v>5</v>
      </c>
      <c r="B9" s="21" t="s">
        <v>190</v>
      </c>
      <c r="C9" s="22" t="s">
        <v>199</v>
      </c>
      <c r="D9" s="23" t="s">
        <v>200</v>
      </c>
      <c r="E9" s="24" t="s">
        <v>53</v>
      </c>
      <c r="F9" s="35" t="s">
        <v>66</v>
      </c>
      <c r="G9" s="26">
        <v>10</v>
      </c>
      <c r="H9" s="26">
        <v>4</v>
      </c>
      <c r="I9" s="26">
        <v>14</v>
      </c>
      <c r="J9" s="26">
        <v>2.5</v>
      </c>
    </row>
    <row r="10" spans="1:10" ht="30" customHeight="1" x14ac:dyDescent="0.3">
      <c r="A10" s="20">
        <v>6</v>
      </c>
      <c r="B10" s="21" t="s">
        <v>190</v>
      </c>
      <c r="C10" s="22" t="s">
        <v>201</v>
      </c>
      <c r="D10" s="23" t="s">
        <v>202</v>
      </c>
      <c r="E10" s="24" t="s">
        <v>53</v>
      </c>
      <c r="F10" s="25" t="s">
        <v>54</v>
      </c>
      <c r="G10" s="26">
        <v>8</v>
      </c>
      <c r="H10" s="26">
        <v>3</v>
      </c>
      <c r="I10" s="26">
        <v>11</v>
      </c>
      <c r="J10" s="26">
        <v>2</v>
      </c>
    </row>
    <row r="11" spans="1:10" ht="30" customHeight="1" x14ac:dyDescent="0.3">
      <c r="A11" s="20">
        <v>7</v>
      </c>
      <c r="B11" s="21" t="s">
        <v>190</v>
      </c>
      <c r="C11" s="22" t="s">
        <v>203</v>
      </c>
      <c r="D11" s="23" t="s">
        <v>204</v>
      </c>
      <c r="E11" s="24" t="s">
        <v>53</v>
      </c>
      <c r="F11" s="25" t="s">
        <v>54</v>
      </c>
      <c r="G11" s="26">
        <v>10</v>
      </c>
      <c r="H11" s="26">
        <v>4</v>
      </c>
      <c r="I11" s="26">
        <v>14</v>
      </c>
      <c r="J11" s="26">
        <v>2.5</v>
      </c>
    </row>
    <row r="12" spans="1:10" ht="30" customHeight="1" x14ac:dyDescent="0.3">
      <c r="A12" s="20">
        <v>8</v>
      </c>
      <c r="B12" s="21" t="s">
        <v>190</v>
      </c>
      <c r="C12" s="22" t="s">
        <v>205</v>
      </c>
      <c r="D12" s="23" t="s">
        <v>206</v>
      </c>
      <c r="E12" s="24" t="s">
        <v>53</v>
      </c>
      <c r="F12" s="25" t="s">
        <v>54</v>
      </c>
      <c r="G12" s="26">
        <v>8</v>
      </c>
      <c r="H12" s="26">
        <v>4</v>
      </c>
      <c r="I12" s="26">
        <v>12</v>
      </c>
      <c r="J12" s="26">
        <v>2</v>
      </c>
    </row>
    <row r="13" spans="1:10" ht="30" customHeight="1" x14ac:dyDescent="0.3">
      <c r="A13" s="20">
        <v>9</v>
      </c>
      <c r="B13" s="21" t="s">
        <v>190</v>
      </c>
      <c r="C13" s="22" t="s">
        <v>207</v>
      </c>
      <c r="D13" s="23" t="s">
        <v>208</v>
      </c>
      <c r="E13" s="31" t="s">
        <v>65</v>
      </c>
      <c r="F13" s="25" t="s">
        <v>54</v>
      </c>
      <c r="G13" s="26">
        <v>20</v>
      </c>
      <c r="H13" s="26">
        <v>6</v>
      </c>
      <c r="I13" s="26">
        <v>26</v>
      </c>
      <c r="J13" s="26">
        <v>4.5</v>
      </c>
    </row>
    <row r="14" spans="1:10" ht="30" customHeight="1" x14ac:dyDescent="0.3">
      <c r="A14" s="20">
        <v>10</v>
      </c>
      <c r="B14" s="21" t="s">
        <v>190</v>
      </c>
      <c r="C14" s="22" t="s">
        <v>209</v>
      </c>
      <c r="D14" s="23" t="s">
        <v>210</v>
      </c>
      <c r="E14" s="34" t="s">
        <v>85</v>
      </c>
      <c r="F14" s="35" t="s">
        <v>66</v>
      </c>
      <c r="G14" s="26">
        <v>24</v>
      </c>
      <c r="H14" s="26">
        <v>8</v>
      </c>
      <c r="I14" s="26">
        <v>32</v>
      </c>
      <c r="J14" s="26">
        <v>5.5</v>
      </c>
    </row>
    <row r="15" spans="1:10" ht="30" customHeight="1" x14ac:dyDescent="0.3">
      <c r="A15" s="11">
        <v>11</v>
      </c>
      <c r="B15" s="28" t="s">
        <v>211</v>
      </c>
      <c r="C15" s="29" t="s">
        <v>212</v>
      </c>
      <c r="D15" s="30" t="s">
        <v>213</v>
      </c>
      <c r="E15" s="27" t="s">
        <v>57</v>
      </c>
      <c r="F15" s="33" t="s">
        <v>54</v>
      </c>
      <c r="G15" s="12">
        <v>4</v>
      </c>
      <c r="H15" s="12">
        <v>2</v>
      </c>
      <c r="I15" s="12">
        <v>6</v>
      </c>
      <c r="J15" s="12">
        <v>1</v>
      </c>
    </row>
    <row r="16" spans="1:10" ht="30" customHeight="1" x14ac:dyDescent="0.3">
      <c r="A16" s="11">
        <v>12</v>
      </c>
      <c r="B16" s="28" t="s">
        <v>211</v>
      </c>
      <c r="C16" s="29" t="s">
        <v>214</v>
      </c>
      <c r="D16" s="30" t="s">
        <v>215</v>
      </c>
      <c r="E16" s="31" t="s">
        <v>65</v>
      </c>
      <c r="F16" s="32" t="s">
        <v>66</v>
      </c>
      <c r="G16" s="12">
        <v>14</v>
      </c>
      <c r="H16" s="12">
        <v>6</v>
      </c>
      <c r="I16" s="12">
        <v>20</v>
      </c>
      <c r="J16" s="12">
        <v>3.5</v>
      </c>
    </row>
    <row r="17" spans="1:10" ht="30" customHeight="1" x14ac:dyDescent="0.3">
      <c r="A17" s="11">
        <v>13</v>
      </c>
      <c r="B17" s="28" t="s">
        <v>211</v>
      </c>
      <c r="C17" s="29" t="s">
        <v>216</v>
      </c>
      <c r="D17" s="30" t="s">
        <v>217</v>
      </c>
      <c r="E17" s="31" t="s">
        <v>65</v>
      </c>
      <c r="F17" s="32" t="s">
        <v>66</v>
      </c>
      <c r="G17" s="12">
        <v>16</v>
      </c>
      <c r="H17" s="12">
        <v>6</v>
      </c>
      <c r="I17" s="12">
        <v>22</v>
      </c>
      <c r="J17" s="12">
        <v>3.5</v>
      </c>
    </row>
    <row r="18" spans="1:10" ht="30" customHeight="1" x14ac:dyDescent="0.3">
      <c r="A18" s="11">
        <v>14</v>
      </c>
      <c r="B18" s="28" t="s">
        <v>211</v>
      </c>
      <c r="C18" s="29" t="s">
        <v>218</v>
      </c>
      <c r="D18" s="30" t="s">
        <v>219</v>
      </c>
      <c r="E18" s="31" t="s">
        <v>65</v>
      </c>
      <c r="F18" s="32" t="s">
        <v>66</v>
      </c>
      <c r="G18" s="12">
        <v>16</v>
      </c>
      <c r="H18" s="12">
        <v>5</v>
      </c>
      <c r="I18" s="12">
        <v>21</v>
      </c>
      <c r="J18" s="12">
        <v>3.5</v>
      </c>
    </row>
    <row r="19" spans="1:10" ht="30" customHeight="1" x14ac:dyDescent="0.3">
      <c r="A19" s="11">
        <v>15</v>
      </c>
      <c r="B19" s="28" t="s">
        <v>211</v>
      </c>
      <c r="C19" s="29" t="s">
        <v>220</v>
      </c>
      <c r="D19" s="30" t="s">
        <v>221</v>
      </c>
      <c r="E19" s="24" t="s">
        <v>53</v>
      </c>
      <c r="F19" s="33" t="s">
        <v>54</v>
      </c>
      <c r="G19" s="12">
        <v>12</v>
      </c>
      <c r="H19" s="12">
        <v>4</v>
      </c>
      <c r="I19" s="12">
        <v>16</v>
      </c>
      <c r="J19" s="12">
        <v>2.5</v>
      </c>
    </row>
    <row r="20" spans="1:10" ht="30" customHeight="1" x14ac:dyDescent="0.3">
      <c r="A20" s="11">
        <v>16</v>
      </c>
      <c r="B20" s="28" t="s">
        <v>211</v>
      </c>
      <c r="C20" s="29" t="s">
        <v>222</v>
      </c>
      <c r="D20" s="30" t="s">
        <v>223</v>
      </c>
      <c r="E20" s="24" t="s">
        <v>53</v>
      </c>
      <c r="F20" s="33" t="s">
        <v>54</v>
      </c>
      <c r="G20" s="12">
        <v>12</v>
      </c>
      <c r="H20" s="12">
        <v>4</v>
      </c>
      <c r="I20" s="12">
        <v>16</v>
      </c>
      <c r="J20" s="12">
        <v>2.5</v>
      </c>
    </row>
    <row r="21" spans="1:10" ht="30" customHeight="1" x14ac:dyDescent="0.3">
      <c r="A21" s="11">
        <v>17</v>
      </c>
      <c r="B21" s="28" t="s">
        <v>211</v>
      </c>
      <c r="C21" s="29" t="s">
        <v>224</v>
      </c>
      <c r="D21" s="30" t="s">
        <v>225</v>
      </c>
      <c r="E21" s="24" t="s">
        <v>53</v>
      </c>
      <c r="F21" s="33" t="s">
        <v>54</v>
      </c>
      <c r="G21" s="12">
        <v>12</v>
      </c>
      <c r="H21" s="12">
        <v>4</v>
      </c>
      <c r="I21" s="12">
        <v>16</v>
      </c>
      <c r="J21" s="12">
        <v>2.5</v>
      </c>
    </row>
    <row r="22" spans="1:10" ht="30" customHeight="1" x14ac:dyDescent="0.3">
      <c r="A22" s="11">
        <v>18</v>
      </c>
      <c r="B22" s="28" t="s">
        <v>211</v>
      </c>
      <c r="C22" s="29" t="s">
        <v>226</v>
      </c>
      <c r="D22" s="30" t="s">
        <v>227</v>
      </c>
      <c r="E22" s="24" t="s">
        <v>53</v>
      </c>
      <c r="F22" s="33" t="s">
        <v>54</v>
      </c>
      <c r="G22" s="12">
        <v>12</v>
      </c>
      <c r="H22" s="12">
        <v>4</v>
      </c>
      <c r="I22" s="12">
        <v>16</v>
      </c>
      <c r="J22" s="12">
        <v>2.5</v>
      </c>
    </row>
    <row r="23" spans="1:10" ht="30" customHeight="1" x14ac:dyDescent="0.3">
      <c r="A23" s="11">
        <v>19</v>
      </c>
      <c r="B23" s="28" t="s">
        <v>211</v>
      </c>
      <c r="C23" s="29" t="s">
        <v>228</v>
      </c>
      <c r="D23" s="30" t="s">
        <v>229</v>
      </c>
      <c r="E23" s="24" t="s">
        <v>53</v>
      </c>
      <c r="F23" s="33" t="s">
        <v>54</v>
      </c>
      <c r="G23" s="12">
        <v>12</v>
      </c>
      <c r="H23" s="12">
        <v>5</v>
      </c>
      <c r="I23" s="12">
        <v>17</v>
      </c>
      <c r="J23" s="12">
        <v>3</v>
      </c>
    </row>
    <row r="24" spans="1:10" ht="30" customHeight="1" x14ac:dyDescent="0.3">
      <c r="A24" s="11">
        <v>20</v>
      </c>
      <c r="B24" s="28" t="s">
        <v>211</v>
      </c>
      <c r="C24" s="29" t="s">
        <v>230</v>
      </c>
      <c r="D24" s="30" t="s">
        <v>231</v>
      </c>
      <c r="E24" s="24" t="s">
        <v>53</v>
      </c>
      <c r="F24" s="32" t="s">
        <v>66</v>
      </c>
      <c r="G24" s="12">
        <v>10</v>
      </c>
      <c r="H24" s="12">
        <v>4</v>
      </c>
      <c r="I24" s="12">
        <v>14</v>
      </c>
      <c r="J24" s="12">
        <v>2.5</v>
      </c>
    </row>
    <row r="25" spans="1:10" ht="30" customHeight="1" x14ac:dyDescent="0.3">
      <c r="A25" s="11">
        <v>21</v>
      </c>
      <c r="B25" s="28" t="s">
        <v>211</v>
      </c>
      <c r="C25" s="29" t="s">
        <v>232</v>
      </c>
      <c r="D25" s="30" t="s">
        <v>233</v>
      </c>
      <c r="E25" s="24" t="s">
        <v>53</v>
      </c>
      <c r="F25" s="36" t="s">
        <v>186</v>
      </c>
      <c r="G25" s="12">
        <v>12</v>
      </c>
      <c r="H25" s="12">
        <v>4</v>
      </c>
      <c r="I25" s="12">
        <v>16</v>
      </c>
      <c r="J25" s="12">
        <v>2.5</v>
      </c>
    </row>
    <row r="26" spans="1:10" ht="30" customHeight="1" x14ac:dyDescent="0.3">
      <c r="A26" s="20">
        <v>22</v>
      </c>
      <c r="B26" s="21" t="s">
        <v>234</v>
      </c>
      <c r="C26" s="22" t="s">
        <v>235</v>
      </c>
      <c r="D26" s="23" t="s">
        <v>236</v>
      </c>
      <c r="E26" s="31" t="s">
        <v>65</v>
      </c>
      <c r="F26" s="35" t="s">
        <v>66</v>
      </c>
      <c r="G26" s="26">
        <v>20</v>
      </c>
      <c r="H26" s="26">
        <v>6</v>
      </c>
      <c r="I26" s="26">
        <v>26</v>
      </c>
      <c r="J26" s="26">
        <v>4.5</v>
      </c>
    </row>
    <row r="27" spans="1:10" ht="30" customHeight="1" x14ac:dyDescent="0.3">
      <c r="A27" s="20">
        <v>23</v>
      </c>
      <c r="B27" s="21" t="s">
        <v>234</v>
      </c>
      <c r="C27" s="22" t="s">
        <v>237</v>
      </c>
      <c r="D27" s="23" t="s">
        <v>238</v>
      </c>
      <c r="E27" s="31" t="s">
        <v>65</v>
      </c>
      <c r="F27" s="35" t="s">
        <v>66</v>
      </c>
      <c r="G27" s="26">
        <v>16</v>
      </c>
      <c r="H27" s="26">
        <v>5</v>
      </c>
      <c r="I27" s="26">
        <v>21</v>
      </c>
      <c r="J27" s="26">
        <v>3.5</v>
      </c>
    </row>
    <row r="28" spans="1:10" ht="30" customHeight="1" x14ac:dyDescent="0.3">
      <c r="A28" s="20">
        <v>24</v>
      </c>
      <c r="B28" s="21" t="s">
        <v>234</v>
      </c>
      <c r="C28" s="22" t="s">
        <v>239</v>
      </c>
      <c r="D28" s="23" t="s">
        <v>240</v>
      </c>
      <c r="E28" s="24" t="s">
        <v>53</v>
      </c>
      <c r="F28" s="35" t="s">
        <v>66</v>
      </c>
      <c r="G28" s="26">
        <v>12</v>
      </c>
      <c r="H28" s="26">
        <v>5</v>
      </c>
      <c r="I28" s="26">
        <v>17</v>
      </c>
      <c r="J28" s="26">
        <v>3</v>
      </c>
    </row>
    <row r="29" spans="1:10" ht="30" customHeight="1" x14ac:dyDescent="0.3">
      <c r="A29" s="20">
        <v>25</v>
      </c>
      <c r="B29" s="21" t="s">
        <v>234</v>
      </c>
      <c r="C29" s="22" t="s">
        <v>241</v>
      </c>
      <c r="D29" s="23" t="s">
        <v>242</v>
      </c>
      <c r="E29" s="24" t="s">
        <v>53</v>
      </c>
      <c r="F29" s="35" t="s">
        <v>66</v>
      </c>
      <c r="G29" s="26">
        <v>12</v>
      </c>
      <c r="H29" s="26">
        <v>6</v>
      </c>
      <c r="I29" s="26">
        <v>18</v>
      </c>
      <c r="J29" s="26">
        <v>3</v>
      </c>
    </row>
    <row r="30" spans="1:10" ht="30" customHeight="1" x14ac:dyDescent="0.3">
      <c r="A30" s="11">
        <v>26</v>
      </c>
      <c r="B30" s="28" t="s">
        <v>243</v>
      </c>
      <c r="C30" s="29" t="s">
        <v>244</v>
      </c>
      <c r="D30" s="30" t="s">
        <v>245</v>
      </c>
      <c r="E30" s="31" t="s">
        <v>65</v>
      </c>
      <c r="F30" s="32" t="s">
        <v>66</v>
      </c>
      <c r="G30" s="12">
        <v>12</v>
      </c>
      <c r="H30" s="12">
        <v>5</v>
      </c>
      <c r="I30" s="12">
        <v>17</v>
      </c>
      <c r="J30" s="12">
        <v>3</v>
      </c>
    </row>
    <row r="31" spans="1:10" ht="30" customHeight="1" x14ac:dyDescent="0.3">
      <c r="A31" s="11">
        <v>27</v>
      </c>
      <c r="B31" s="28" t="s">
        <v>243</v>
      </c>
      <c r="C31" s="29" t="s">
        <v>246</v>
      </c>
      <c r="D31" s="30" t="s">
        <v>247</v>
      </c>
      <c r="E31" s="24" t="s">
        <v>53</v>
      </c>
      <c r="F31" s="32" t="s">
        <v>66</v>
      </c>
      <c r="G31" s="12">
        <v>12</v>
      </c>
      <c r="H31" s="12">
        <v>4</v>
      </c>
      <c r="I31" s="12">
        <v>16</v>
      </c>
      <c r="J31" s="12">
        <v>2.5</v>
      </c>
    </row>
    <row r="32" spans="1:10" ht="30" customHeight="1" x14ac:dyDescent="0.3">
      <c r="A32" s="11">
        <v>28</v>
      </c>
      <c r="B32" s="28" t="s">
        <v>243</v>
      </c>
      <c r="C32" s="29" t="s">
        <v>248</v>
      </c>
      <c r="D32" s="30" t="s">
        <v>249</v>
      </c>
      <c r="E32" s="31" t="s">
        <v>65</v>
      </c>
      <c r="F32" s="33" t="s">
        <v>54</v>
      </c>
      <c r="G32" s="12">
        <v>16</v>
      </c>
      <c r="H32" s="12">
        <v>5</v>
      </c>
      <c r="I32" s="12">
        <v>21</v>
      </c>
      <c r="J32" s="12">
        <v>3.5</v>
      </c>
    </row>
    <row r="33" spans="1:10" ht="30" customHeight="1" x14ac:dyDescent="0.3">
      <c r="A33" s="11">
        <v>29</v>
      </c>
      <c r="B33" s="28" t="s">
        <v>243</v>
      </c>
      <c r="C33" s="29" t="s">
        <v>250</v>
      </c>
      <c r="D33" s="30" t="s">
        <v>251</v>
      </c>
      <c r="E33" s="24" t="s">
        <v>53</v>
      </c>
      <c r="F33" s="33" t="s">
        <v>54</v>
      </c>
      <c r="G33" s="12">
        <v>12</v>
      </c>
      <c r="H33" s="12">
        <v>4</v>
      </c>
      <c r="I33" s="12">
        <v>16</v>
      </c>
      <c r="J33" s="12">
        <v>2.5</v>
      </c>
    </row>
    <row r="34" spans="1:10" ht="30" customHeight="1" x14ac:dyDescent="0.3">
      <c r="A34" s="11">
        <v>30</v>
      </c>
      <c r="B34" s="28" t="s">
        <v>243</v>
      </c>
      <c r="C34" s="29" t="s">
        <v>252</v>
      </c>
      <c r="D34" s="30" t="s">
        <v>253</v>
      </c>
      <c r="E34" s="24" t="s">
        <v>53</v>
      </c>
      <c r="F34" s="33" t="s">
        <v>54</v>
      </c>
      <c r="G34" s="12">
        <v>10</v>
      </c>
      <c r="H34" s="12">
        <v>4</v>
      </c>
      <c r="I34" s="12">
        <v>14</v>
      </c>
      <c r="J34" s="12">
        <v>2.5</v>
      </c>
    </row>
    <row r="35" spans="1:10" ht="30" customHeight="1" x14ac:dyDescent="0.3">
      <c r="A35" s="20">
        <v>31</v>
      </c>
      <c r="B35" s="21" t="s">
        <v>254</v>
      </c>
      <c r="C35" s="22" t="s">
        <v>255</v>
      </c>
      <c r="D35" s="23" t="s">
        <v>256</v>
      </c>
      <c r="E35" s="24" t="s">
        <v>53</v>
      </c>
      <c r="F35" s="25" t="s">
        <v>54</v>
      </c>
      <c r="G35" s="26">
        <v>14</v>
      </c>
      <c r="H35" s="26">
        <v>4</v>
      </c>
      <c r="I35" s="26">
        <v>18</v>
      </c>
      <c r="J35" s="26">
        <v>3</v>
      </c>
    </row>
    <row r="36" spans="1:10" ht="30" customHeight="1" x14ac:dyDescent="0.3">
      <c r="A36" s="20">
        <v>32</v>
      </c>
      <c r="B36" s="21" t="s">
        <v>254</v>
      </c>
      <c r="C36" s="22" t="s">
        <v>257</v>
      </c>
      <c r="D36" s="23" t="s">
        <v>258</v>
      </c>
      <c r="E36" s="24" t="s">
        <v>53</v>
      </c>
      <c r="F36" s="37" t="s">
        <v>186</v>
      </c>
      <c r="G36" s="26">
        <v>8</v>
      </c>
      <c r="H36" s="26">
        <v>3</v>
      </c>
      <c r="I36" s="26">
        <v>11</v>
      </c>
      <c r="J36" s="26">
        <v>2</v>
      </c>
    </row>
    <row r="37" spans="1:10" ht="30" customHeight="1" x14ac:dyDescent="0.3">
      <c r="A37" s="20">
        <v>33</v>
      </c>
      <c r="B37" s="21" t="s">
        <v>254</v>
      </c>
      <c r="C37" s="22" t="s">
        <v>259</v>
      </c>
      <c r="D37" s="23" t="s">
        <v>260</v>
      </c>
      <c r="E37" s="27" t="s">
        <v>57</v>
      </c>
      <c r="F37" s="37" t="s">
        <v>186</v>
      </c>
      <c r="G37" s="26">
        <v>6</v>
      </c>
      <c r="H37" s="26">
        <v>3</v>
      </c>
      <c r="I37" s="26">
        <v>9</v>
      </c>
      <c r="J37" s="26">
        <v>1.5</v>
      </c>
    </row>
    <row r="38" spans="1:10" ht="30" customHeight="1" x14ac:dyDescent="0.3">
      <c r="A38" s="11">
        <v>34</v>
      </c>
      <c r="B38" s="28" t="s">
        <v>261</v>
      </c>
      <c r="C38" s="29" t="s">
        <v>262</v>
      </c>
      <c r="D38" s="30" t="s">
        <v>263</v>
      </c>
      <c r="E38" s="31" t="s">
        <v>65</v>
      </c>
      <c r="F38" s="33" t="s">
        <v>54</v>
      </c>
      <c r="G38" s="12">
        <v>16</v>
      </c>
      <c r="H38" s="12">
        <v>5</v>
      </c>
      <c r="I38" s="12">
        <v>21</v>
      </c>
      <c r="J38" s="12">
        <v>3.5</v>
      </c>
    </row>
    <row r="39" spans="1:10" ht="30" customHeight="1" x14ac:dyDescent="0.3">
      <c r="A39" s="11">
        <v>35</v>
      </c>
      <c r="B39" s="28" t="s">
        <v>261</v>
      </c>
      <c r="C39" s="29" t="s">
        <v>264</v>
      </c>
      <c r="D39" s="30" t="s">
        <v>265</v>
      </c>
      <c r="E39" s="24" t="s">
        <v>53</v>
      </c>
      <c r="F39" s="33" t="s">
        <v>54</v>
      </c>
      <c r="G39" s="12">
        <v>10</v>
      </c>
      <c r="H39" s="12">
        <v>4</v>
      </c>
      <c r="I39" s="12">
        <v>14</v>
      </c>
      <c r="J39" s="12">
        <v>2.5</v>
      </c>
    </row>
    <row r="40" spans="1:10" ht="30" customHeight="1" x14ac:dyDescent="0.3">
      <c r="A40" s="11">
        <v>36</v>
      </c>
      <c r="B40" s="28" t="s">
        <v>261</v>
      </c>
      <c r="C40" s="29" t="s">
        <v>266</v>
      </c>
      <c r="D40" s="30" t="s">
        <v>267</v>
      </c>
      <c r="E40" s="24" t="s">
        <v>53</v>
      </c>
      <c r="F40" s="36" t="s">
        <v>186</v>
      </c>
      <c r="G40" s="12">
        <v>8</v>
      </c>
      <c r="H40" s="12">
        <v>3</v>
      </c>
      <c r="I40" s="12">
        <v>11</v>
      </c>
      <c r="J40" s="12">
        <v>2</v>
      </c>
    </row>
    <row r="41" spans="1:10" ht="30" customHeight="1" x14ac:dyDescent="0.3">
      <c r="A41" s="11">
        <v>37</v>
      </c>
      <c r="B41" s="28" t="s">
        <v>261</v>
      </c>
      <c r="C41" s="29" t="s">
        <v>268</v>
      </c>
      <c r="D41" s="30" t="s">
        <v>269</v>
      </c>
      <c r="E41" s="31" t="s">
        <v>65</v>
      </c>
      <c r="F41" s="36" t="s">
        <v>186</v>
      </c>
      <c r="G41" s="12">
        <v>16</v>
      </c>
      <c r="H41" s="12">
        <v>5</v>
      </c>
      <c r="I41" s="12">
        <v>21</v>
      </c>
      <c r="J41" s="12">
        <v>3.5</v>
      </c>
    </row>
    <row r="42" spans="1:10" ht="30" customHeight="1" x14ac:dyDescent="0.3">
      <c r="A42" s="20">
        <v>38</v>
      </c>
      <c r="B42" s="21" t="s">
        <v>270</v>
      </c>
      <c r="C42" s="22" t="s">
        <v>271</v>
      </c>
      <c r="D42" s="23" t="s">
        <v>272</v>
      </c>
      <c r="E42" s="24" t="s">
        <v>53</v>
      </c>
      <c r="F42" s="35" t="s">
        <v>66</v>
      </c>
      <c r="G42" s="26">
        <v>10</v>
      </c>
      <c r="H42" s="26">
        <v>4</v>
      </c>
      <c r="I42" s="26">
        <v>14</v>
      </c>
      <c r="J42" s="26">
        <v>2.5</v>
      </c>
    </row>
    <row r="43" spans="1:10" ht="30" customHeight="1" x14ac:dyDescent="0.3">
      <c r="A43" s="20">
        <v>39</v>
      </c>
      <c r="B43" s="21" t="s">
        <v>270</v>
      </c>
      <c r="C43" s="22" t="s">
        <v>273</v>
      </c>
      <c r="D43" s="23" t="s">
        <v>274</v>
      </c>
      <c r="E43" s="24" t="s">
        <v>53</v>
      </c>
      <c r="F43" s="35" t="s">
        <v>66</v>
      </c>
      <c r="G43" s="26">
        <v>10</v>
      </c>
      <c r="H43" s="26">
        <v>4</v>
      </c>
      <c r="I43" s="26">
        <v>14</v>
      </c>
      <c r="J43" s="26">
        <v>2.5</v>
      </c>
    </row>
    <row r="44" spans="1:10" ht="30" customHeight="1" x14ac:dyDescent="0.3">
      <c r="A44" s="20">
        <v>40</v>
      </c>
      <c r="B44" s="21" t="s">
        <v>270</v>
      </c>
      <c r="C44" s="22" t="s">
        <v>275</v>
      </c>
      <c r="D44" s="23" t="s">
        <v>276</v>
      </c>
      <c r="E44" s="24" t="s">
        <v>53</v>
      </c>
      <c r="F44" s="25" t="s">
        <v>54</v>
      </c>
      <c r="G44" s="26">
        <v>10</v>
      </c>
      <c r="H44" s="26">
        <v>4</v>
      </c>
      <c r="I44" s="26">
        <v>14</v>
      </c>
      <c r="J44" s="26">
        <v>2.5</v>
      </c>
    </row>
    <row r="45" spans="1:10" ht="30" customHeight="1" x14ac:dyDescent="0.3">
      <c r="A45" s="20">
        <v>41</v>
      </c>
      <c r="B45" s="21" t="s">
        <v>270</v>
      </c>
      <c r="C45" s="22" t="s">
        <v>277</v>
      </c>
      <c r="D45" s="23" t="s">
        <v>278</v>
      </c>
      <c r="E45" s="24" t="s">
        <v>53</v>
      </c>
      <c r="F45" s="35" t="s">
        <v>66</v>
      </c>
      <c r="G45" s="26">
        <v>12</v>
      </c>
      <c r="H45" s="26">
        <v>6</v>
      </c>
      <c r="I45" s="26">
        <v>18</v>
      </c>
      <c r="J45" s="26">
        <v>3</v>
      </c>
    </row>
    <row r="46" spans="1:10" ht="30" customHeight="1" x14ac:dyDescent="0.3">
      <c r="A46" s="20">
        <v>42</v>
      </c>
      <c r="B46" s="21" t="s">
        <v>270</v>
      </c>
      <c r="C46" s="22" t="s">
        <v>279</v>
      </c>
      <c r="D46" s="23" t="s">
        <v>280</v>
      </c>
      <c r="E46" s="24" t="s">
        <v>53</v>
      </c>
      <c r="F46" s="25" t="s">
        <v>54</v>
      </c>
      <c r="G46" s="26">
        <v>12</v>
      </c>
      <c r="H46" s="26">
        <v>3</v>
      </c>
      <c r="I46" s="26">
        <v>15</v>
      </c>
      <c r="J46" s="26">
        <v>2.5</v>
      </c>
    </row>
    <row r="47" spans="1:10" ht="30" customHeight="1" x14ac:dyDescent="0.3">
      <c r="A47" s="20">
        <v>43</v>
      </c>
      <c r="B47" s="21" t="s">
        <v>270</v>
      </c>
      <c r="C47" s="22" t="s">
        <v>281</v>
      </c>
      <c r="D47" s="23" t="s">
        <v>282</v>
      </c>
      <c r="E47" s="24" t="s">
        <v>53</v>
      </c>
      <c r="F47" s="35" t="s">
        <v>66</v>
      </c>
      <c r="G47" s="26">
        <v>8</v>
      </c>
      <c r="H47" s="26">
        <v>3</v>
      </c>
      <c r="I47" s="26">
        <v>11</v>
      </c>
      <c r="J47" s="26">
        <v>2</v>
      </c>
    </row>
    <row r="48" spans="1:10" ht="30" customHeight="1" x14ac:dyDescent="0.3">
      <c r="A48" s="20">
        <v>44</v>
      </c>
      <c r="B48" s="21" t="s">
        <v>270</v>
      </c>
      <c r="C48" s="22" t="s">
        <v>283</v>
      </c>
      <c r="D48" s="23" t="s">
        <v>284</v>
      </c>
      <c r="E48" s="24" t="s">
        <v>53</v>
      </c>
      <c r="F48" s="37" t="s">
        <v>186</v>
      </c>
      <c r="G48" s="26">
        <v>12</v>
      </c>
      <c r="H48" s="26">
        <v>4</v>
      </c>
      <c r="I48" s="26">
        <v>16</v>
      </c>
      <c r="J48" s="26">
        <v>2.5</v>
      </c>
    </row>
    <row r="49" spans="1:10" ht="22.05" customHeight="1" x14ac:dyDescent="0.3">
      <c r="A49" s="48" t="s">
        <v>285</v>
      </c>
      <c r="B49" s="49"/>
      <c r="C49" s="49"/>
      <c r="D49" s="49"/>
      <c r="E49" s="49"/>
      <c r="F49" s="49"/>
      <c r="G49" s="5">
        <v>518</v>
      </c>
      <c r="H49" s="5">
        <v>199</v>
      </c>
      <c r="I49" s="5">
        <v>717</v>
      </c>
      <c r="J49" s="5">
        <v>119.5</v>
      </c>
    </row>
  </sheetData>
  <autoFilter ref="A4:J48"/>
  <mergeCells count="3">
    <mergeCell ref="A1:J1"/>
    <mergeCell ref="A49:F49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pane ySplit="4" topLeftCell="A5" activePane="bottomLeft" state="frozen"/>
      <selection pane="bottomLeft" sqref="A1:J1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286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287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288</v>
      </c>
      <c r="C5" s="22" t="s">
        <v>289</v>
      </c>
      <c r="D5" s="23" t="s">
        <v>290</v>
      </c>
      <c r="E5" s="34" t="s">
        <v>85</v>
      </c>
      <c r="F5" s="35" t="s">
        <v>66</v>
      </c>
      <c r="G5" s="26">
        <v>24</v>
      </c>
      <c r="H5" s="26">
        <v>8</v>
      </c>
      <c r="I5" s="26">
        <v>32</v>
      </c>
      <c r="J5" s="26">
        <v>5.5</v>
      </c>
    </row>
    <row r="6" spans="1:10" ht="30" customHeight="1" x14ac:dyDescent="0.3">
      <c r="A6" s="20">
        <v>2</v>
      </c>
      <c r="B6" s="21" t="s">
        <v>288</v>
      </c>
      <c r="C6" s="22" t="s">
        <v>291</v>
      </c>
      <c r="D6" s="23" t="s">
        <v>292</v>
      </c>
      <c r="E6" s="24" t="s">
        <v>53</v>
      </c>
      <c r="F6" s="25" t="s">
        <v>54</v>
      </c>
      <c r="G6" s="26">
        <v>8</v>
      </c>
      <c r="H6" s="26">
        <v>3</v>
      </c>
      <c r="I6" s="26">
        <v>11</v>
      </c>
      <c r="J6" s="26">
        <v>2</v>
      </c>
    </row>
    <row r="7" spans="1:10" ht="30" customHeight="1" x14ac:dyDescent="0.3">
      <c r="A7" s="20">
        <v>3</v>
      </c>
      <c r="B7" s="21" t="s">
        <v>288</v>
      </c>
      <c r="C7" s="22" t="s">
        <v>293</v>
      </c>
      <c r="D7" s="23" t="s">
        <v>294</v>
      </c>
      <c r="E7" s="24" t="s">
        <v>53</v>
      </c>
      <c r="F7" s="35" t="s">
        <v>66</v>
      </c>
      <c r="G7" s="26">
        <v>12</v>
      </c>
      <c r="H7" s="26">
        <v>4</v>
      </c>
      <c r="I7" s="26">
        <v>16</v>
      </c>
      <c r="J7" s="26">
        <v>2.5</v>
      </c>
    </row>
    <row r="8" spans="1:10" ht="30" customHeight="1" x14ac:dyDescent="0.3">
      <c r="A8" s="11">
        <v>4</v>
      </c>
      <c r="B8" s="28" t="s">
        <v>295</v>
      </c>
      <c r="C8" s="29" t="s">
        <v>296</v>
      </c>
      <c r="D8" s="30" t="s">
        <v>297</v>
      </c>
      <c r="E8" s="31" t="s">
        <v>65</v>
      </c>
      <c r="F8" s="32" t="s">
        <v>66</v>
      </c>
      <c r="G8" s="12">
        <v>20</v>
      </c>
      <c r="H8" s="12">
        <v>6</v>
      </c>
      <c r="I8" s="12">
        <v>26</v>
      </c>
      <c r="J8" s="12">
        <v>4.5</v>
      </c>
    </row>
    <row r="9" spans="1:10" ht="30" customHeight="1" x14ac:dyDescent="0.3">
      <c r="A9" s="11">
        <v>5</v>
      </c>
      <c r="B9" s="28" t="s">
        <v>295</v>
      </c>
      <c r="C9" s="29" t="s">
        <v>298</v>
      </c>
      <c r="D9" s="30" t="s">
        <v>299</v>
      </c>
      <c r="E9" s="24" t="s">
        <v>53</v>
      </c>
      <c r="F9" s="33" t="s">
        <v>54</v>
      </c>
      <c r="G9" s="12">
        <v>10</v>
      </c>
      <c r="H9" s="12">
        <v>4</v>
      </c>
      <c r="I9" s="12">
        <v>14</v>
      </c>
      <c r="J9" s="12">
        <v>2.5</v>
      </c>
    </row>
    <row r="10" spans="1:10" ht="30" customHeight="1" x14ac:dyDescent="0.3">
      <c r="A10" s="11">
        <v>6</v>
      </c>
      <c r="B10" s="28" t="s">
        <v>295</v>
      </c>
      <c r="C10" s="29" t="s">
        <v>300</v>
      </c>
      <c r="D10" s="30" t="s">
        <v>301</v>
      </c>
      <c r="E10" s="34" t="s">
        <v>85</v>
      </c>
      <c r="F10" s="32" t="s">
        <v>66</v>
      </c>
      <c r="G10" s="12">
        <v>24</v>
      </c>
      <c r="H10" s="12">
        <v>8</v>
      </c>
      <c r="I10" s="12">
        <v>32</v>
      </c>
      <c r="J10" s="12">
        <v>5.5</v>
      </c>
    </row>
    <row r="11" spans="1:10" ht="30" customHeight="1" x14ac:dyDescent="0.3">
      <c r="A11" s="11">
        <v>7</v>
      </c>
      <c r="B11" s="28" t="s">
        <v>295</v>
      </c>
      <c r="C11" s="29" t="s">
        <v>302</v>
      </c>
      <c r="D11" s="30" t="s">
        <v>303</v>
      </c>
      <c r="E11" s="24" t="s">
        <v>53</v>
      </c>
      <c r="F11" s="33" t="s">
        <v>54</v>
      </c>
      <c r="G11" s="12">
        <v>10</v>
      </c>
      <c r="H11" s="12">
        <v>3</v>
      </c>
      <c r="I11" s="12">
        <v>13</v>
      </c>
      <c r="J11" s="12">
        <v>2</v>
      </c>
    </row>
    <row r="12" spans="1:10" ht="30" customHeight="1" x14ac:dyDescent="0.3">
      <c r="A12" s="11">
        <v>8</v>
      </c>
      <c r="B12" s="28" t="s">
        <v>295</v>
      </c>
      <c r="C12" s="29" t="s">
        <v>304</v>
      </c>
      <c r="D12" s="30" t="s">
        <v>305</v>
      </c>
      <c r="E12" s="24" t="s">
        <v>53</v>
      </c>
      <c r="F12" s="33" t="s">
        <v>54</v>
      </c>
      <c r="G12" s="12">
        <v>12</v>
      </c>
      <c r="H12" s="12">
        <v>4</v>
      </c>
      <c r="I12" s="12">
        <v>16</v>
      </c>
      <c r="J12" s="12">
        <v>2.5</v>
      </c>
    </row>
    <row r="13" spans="1:10" ht="30" customHeight="1" x14ac:dyDescent="0.3">
      <c r="A13" s="11">
        <v>9</v>
      </c>
      <c r="B13" s="28" t="s">
        <v>295</v>
      </c>
      <c r="C13" s="29" t="s">
        <v>306</v>
      </c>
      <c r="D13" s="30" t="s">
        <v>307</v>
      </c>
      <c r="E13" s="24" t="s">
        <v>53</v>
      </c>
      <c r="F13" s="32" t="s">
        <v>66</v>
      </c>
      <c r="G13" s="12">
        <v>10</v>
      </c>
      <c r="H13" s="12">
        <v>4</v>
      </c>
      <c r="I13" s="12">
        <v>14</v>
      </c>
      <c r="J13" s="12">
        <v>2.5</v>
      </c>
    </row>
    <row r="14" spans="1:10" ht="30" customHeight="1" x14ac:dyDescent="0.3">
      <c r="A14" s="20">
        <v>10</v>
      </c>
      <c r="B14" s="21" t="s">
        <v>308</v>
      </c>
      <c r="C14" s="22" t="s">
        <v>309</v>
      </c>
      <c r="D14" s="23" t="s">
        <v>310</v>
      </c>
      <c r="E14" s="24" t="s">
        <v>53</v>
      </c>
      <c r="F14" s="25" t="s">
        <v>54</v>
      </c>
      <c r="G14" s="26">
        <v>12</v>
      </c>
      <c r="H14" s="26">
        <v>4</v>
      </c>
      <c r="I14" s="26">
        <v>16</v>
      </c>
      <c r="J14" s="26">
        <v>2.5</v>
      </c>
    </row>
    <row r="15" spans="1:10" ht="22.05" customHeight="1" x14ac:dyDescent="0.3">
      <c r="A15" s="48" t="s">
        <v>311</v>
      </c>
      <c r="B15" s="49"/>
      <c r="C15" s="49"/>
      <c r="D15" s="49"/>
      <c r="E15" s="49"/>
      <c r="F15" s="49"/>
      <c r="G15" s="5">
        <v>142</v>
      </c>
      <c r="H15" s="5">
        <v>48</v>
      </c>
      <c r="I15" s="5">
        <v>190</v>
      </c>
      <c r="J15" s="5">
        <v>31.5</v>
      </c>
    </row>
  </sheetData>
  <autoFilter ref="A4:J14"/>
  <mergeCells count="3">
    <mergeCell ref="A1:J1"/>
    <mergeCell ref="A15:F15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workbookViewId="0">
      <pane ySplit="4" topLeftCell="A41" activePane="bottomLeft" state="frozen"/>
      <selection pane="bottomLeft" sqref="A1:J1"/>
    </sheetView>
  </sheetViews>
  <sheetFormatPr defaultRowHeight="14.4" x14ac:dyDescent="0.3"/>
  <cols>
    <col min="1" max="1" width="4" customWidth="1"/>
    <col min="2" max="2" width="20" customWidth="1"/>
    <col min="3" max="3" width="26" customWidth="1"/>
    <col min="4" max="4" width="62" customWidth="1"/>
    <col min="5" max="6" width="5" customWidth="1"/>
    <col min="7" max="8" width="7" customWidth="1"/>
    <col min="9" max="9" width="8" customWidth="1"/>
    <col min="10" max="10" width="7" customWidth="1"/>
  </cols>
  <sheetData>
    <row r="1" spans="1:10" ht="30" customHeight="1" x14ac:dyDescent="0.3">
      <c r="A1" s="47" t="s">
        <v>312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A2" s="50" t="s">
        <v>313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x14ac:dyDescent="0.3">
      <c r="A4" s="10" t="s">
        <v>42</v>
      </c>
      <c r="B4" s="10" t="s">
        <v>43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</v>
      </c>
      <c r="H4" s="10" t="s">
        <v>48</v>
      </c>
      <c r="I4" s="10" t="s">
        <v>6</v>
      </c>
      <c r="J4" s="10" t="s">
        <v>49</v>
      </c>
    </row>
    <row r="5" spans="1:10" ht="30" customHeight="1" x14ac:dyDescent="0.3">
      <c r="A5" s="20">
        <v>1</v>
      </c>
      <c r="B5" s="21" t="s">
        <v>314</v>
      </c>
      <c r="C5" s="22" t="s">
        <v>315</v>
      </c>
      <c r="D5" s="23" t="s">
        <v>316</v>
      </c>
      <c r="E5" s="31" t="s">
        <v>65</v>
      </c>
      <c r="F5" s="35" t="s">
        <v>66</v>
      </c>
      <c r="G5" s="26">
        <v>24</v>
      </c>
      <c r="H5" s="26">
        <v>4</v>
      </c>
      <c r="I5" s="26">
        <v>28</v>
      </c>
      <c r="J5" s="26">
        <v>4.5</v>
      </c>
    </row>
    <row r="6" spans="1:10" ht="30" customHeight="1" x14ac:dyDescent="0.3">
      <c r="A6" s="20">
        <v>2</v>
      </c>
      <c r="B6" s="21" t="s">
        <v>314</v>
      </c>
      <c r="C6" s="22" t="s">
        <v>317</v>
      </c>
      <c r="D6" s="23" t="s">
        <v>318</v>
      </c>
      <c r="E6" s="31" t="s">
        <v>65</v>
      </c>
      <c r="F6" s="35" t="s">
        <v>66</v>
      </c>
      <c r="G6" s="26">
        <v>20</v>
      </c>
      <c r="H6" s="26">
        <v>3</v>
      </c>
      <c r="I6" s="26">
        <v>23</v>
      </c>
      <c r="J6" s="26">
        <v>4</v>
      </c>
    </row>
    <row r="7" spans="1:10" ht="30" customHeight="1" x14ac:dyDescent="0.3">
      <c r="A7" s="20">
        <v>3</v>
      </c>
      <c r="B7" s="21" t="s">
        <v>314</v>
      </c>
      <c r="C7" s="22" t="s">
        <v>319</v>
      </c>
      <c r="D7" s="23" t="s">
        <v>320</v>
      </c>
      <c r="E7" s="31" t="s">
        <v>65</v>
      </c>
      <c r="F7" s="35" t="s">
        <v>66</v>
      </c>
      <c r="G7" s="26">
        <v>16</v>
      </c>
      <c r="H7" s="26">
        <v>3</v>
      </c>
      <c r="I7" s="26">
        <v>19</v>
      </c>
      <c r="J7" s="26">
        <v>3</v>
      </c>
    </row>
    <row r="8" spans="1:10" ht="30" customHeight="1" x14ac:dyDescent="0.3">
      <c r="A8" s="20">
        <v>4</v>
      </c>
      <c r="B8" s="21" t="s">
        <v>314</v>
      </c>
      <c r="C8" s="22" t="s">
        <v>321</v>
      </c>
      <c r="D8" s="23" t="s">
        <v>322</v>
      </c>
      <c r="E8" s="24" t="s">
        <v>53</v>
      </c>
      <c r="F8" s="35" t="s">
        <v>66</v>
      </c>
      <c r="G8" s="26">
        <v>12</v>
      </c>
      <c r="H8" s="26">
        <v>3</v>
      </c>
      <c r="I8" s="26">
        <v>15</v>
      </c>
      <c r="J8" s="26">
        <v>2.5</v>
      </c>
    </row>
    <row r="9" spans="1:10" ht="30" customHeight="1" x14ac:dyDescent="0.3">
      <c r="A9" s="20">
        <v>5</v>
      </c>
      <c r="B9" s="21" t="s">
        <v>314</v>
      </c>
      <c r="C9" s="22" t="s">
        <v>323</v>
      </c>
      <c r="D9" s="23" t="s">
        <v>324</v>
      </c>
      <c r="E9" s="31" t="s">
        <v>65</v>
      </c>
      <c r="F9" s="35" t="s">
        <v>66</v>
      </c>
      <c r="G9" s="26">
        <v>16</v>
      </c>
      <c r="H9" s="26">
        <v>4</v>
      </c>
      <c r="I9" s="26">
        <v>20</v>
      </c>
      <c r="J9" s="26">
        <v>3.5</v>
      </c>
    </row>
    <row r="10" spans="1:10" ht="30" customHeight="1" x14ac:dyDescent="0.3">
      <c r="A10" s="11">
        <v>6</v>
      </c>
      <c r="B10" s="28" t="s">
        <v>325</v>
      </c>
      <c r="C10" s="29" t="s">
        <v>326</v>
      </c>
      <c r="D10" s="30" t="s">
        <v>327</v>
      </c>
      <c r="E10" s="24" t="s">
        <v>53</v>
      </c>
      <c r="F10" s="32" t="s">
        <v>66</v>
      </c>
      <c r="G10" s="12">
        <v>14</v>
      </c>
      <c r="H10" s="12">
        <v>3</v>
      </c>
      <c r="I10" s="12">
        <v>17</v>
      </c>
      <c r="J10" s="12">
        <v>3</v>
      </c>
    </row>
    <row r="11" spans="1:10" ht="30" customHeight="1" x14ac:dyDescent="0.3">
      <c r="A11" s="11">
        <v>7</v>
      </c>
      <c r="B11" s="28" t="s">
        <v>325</v>
      </c>
      <c r="C11" s="29" t="s">
        <v>328</v>
      </c>
      <c r="D11" s="30" t="s">
        <v>329</v>
      </c>
      <c r="E11" s="31" t="s">
        <v>65</v>
      </c>
      <c r="F11" s="32" t="s">
        <v>66</v>
      </c>
      <c r="G11" s="12">
        <v>24</v>
      </c>
      <c r="H11" s="12">
        <v>5</v>
      </c>
      <c r="I11" s="12">
        <v>29</v>
      </c>
      <c r="J11" s="12">
        <v>5</v>
      </c>
    </row>
    <row r="12" spans="1:10" ht="30" customHeight="1" x14ac:dyDescent="0.3">
      <c r="A12" s="11">
        <v>8</v>
      </c>
      <c r="B12" s="28" t="s">
        <v>325</v>
      </c>
      <c r="C12" s="29" t="s">
        <v>330</v>
      </c>
      <c r="D12" s="30" t="s">
        <v>331</v>
      </c>
      <c r="E12" s="24" t="s">
        <v>53</v>
      </c>
      <c r="F12" s="32" t="s">
        <v>66</v>
      </c>
      <c r="G12" s="12">
        <v>12</v>
      </c>
      <c r="H12" s="12">
        <v>3</v>
      </c>
      <c r="I12" s="12">
        <v>15</v>
      </c>
      <c r="J12" s="12">
        <v>2.5</v>
      </c>
    </row>
    <row r="13" spans="1:10" ht="30" customHeight="1" x14ac:dyDescent="0.3">
      <c r="A13" s="11">
        <v>9</v>
      </c>
      <c r="B13" s="28" t="s">
        <v>325</v>
      </c>
      <c r="C13" s="29" t="s">
        <v>332</v>
      </c>
      <c r="D13" s="30" t="s">
        <v>333</v>
      </c>
      <c r="E13" s="31" t="s">
        <v>65</v>
      </c>
      <c r="F13" s="33" t="s">
        <v>54</v>
      </c>
      <c r="G13" s="12">
        <v>16</v>
      </c>
      <c r="H13" s="12">
        <v>4</v>
      </c>
      <c r="I13" s="12">
        <v>20</v>
      </c>
      <c r="J13" s="12">
        <v>3.5</v>
      </c>
    </row>
    <row r="14" spans="1:10" ht="30" customHeight="1" x14ac:dyDescent="0.3">
      <c r="A14" s="11">
        <v>10</v>
      </c>
      <c r="B14" s="28" t="s">
        <v>325</v>
      </c>
      <c r="C14" s="29" t="s">
        <v>334</v>
      </c>
      <c r="D14" s="30" t="s">
        <v>335</v>
      </c>
      <c r="E14" s="24" t="s">
        <v>53</v>
      </c>
      <c r="F14" s="32" t="s">
        <v>66</v>
      </c>
      <c r="G14" s="12">
        <v>12</v>
      </c>
      <c r="H14" s="12">
        <v>3</v>
      </c>
      <c r="I14" s="12">
        <v>15</v>
      </c>
      <c r="J14" s="12">
        <v>2.5</v>
      </c>
    </row>
    <row r="15" spans="1:10" ht="30" customHeight="1" x14ac:dyDescent="0.3">
      <c r="A15" s="11">
        <v>11</v>
      </c>
      <c r="B15" s="28" t="s">
        <v>325</v>
      </c>
      <c r="C15" s="29" t="s">
        <v>336</v>
      </c>
      <c r="D15" s="30" t="s">
        <v>337</v>
      </c>
      <c r="E15" s="24" t="s">
        <v>53</v>
      </c>
      <c r="F15" s="33" t="s">
        <v>54</v>
      </c>
      <c r="G15" s="12">
        <v>10</v>
      </c>
      <c r="H15" s="12">
        <v>3</v>
      </c>
      <c r="I15" s="12">
        <v>13</v>
      </c>
      <c r="J15" s="12">
        <v>2</v>
      </c>
    </row>
    <row r="16" spans="1:10" ht="30" customHeight="1" x14ac:dyDescent="0.3">
      <c r="A16" s="11">
        <v>12</v>
      </c>
      <c r="B16" s="28" t="s">
        <v>325</v>
      </c>
      <c r="C16" s="29" t="s">
        <v>338</v>
      </c>
      <c r="D16" s="30" t="s">
        <v>339</v>
      </c>
      <c r="E16" s="24" t="s">
        <v>53</v>
      </c>
      <c r="F16" s="33" t="s">
        <v>54</v>
      </c>
      <c r="G16" s="12">
        <v>10</v>
      </c>
      <c r="H16" s="12">
        <v>3</v>
      </c>
      <c r="I16" s="12">
        <v>13</v>
      </c>
      <c r="J16" s="12">
        <v>2</v>
      </c>
    </row>
    <row r="17" spans="1:10" ht="30" customHeight="1" x14ac:dyDescent="0.3">
      <c r="A17" s="11">
        <v>13</v>
      </c>
      <c r="B17" s="28" t="s">
        <v>325</v>
      </c>
      <c r="C17" s="29" t="s">
        <v>340</v>
      </c>
      <c r="D17" s="30" t="s">
        <v>341</v>
      </c>
      <c r="E17" s="24" t="s">
        <v>53</v>
      </c>
      <c r="F17" s="32" t="s">
        <v>66</v>
      </c>
      <c r="G17" s="12">
        <v>10</v>
      </c>
      <c r="H17" s="12">
        <v>3</v>
      </c>
      <c r="I17" s="12">
        <v>13</v>
      </c>
      <c r="J17" s="12">
        <v>2</v>
      </c>
    </row>
    <row r="18" spans="1:10" ht="30" customHeight="1" x14ac:dyDescent="0.3">
      <c r="A18" s="20">
        <v>14</v>
      </c>
      <c r="B18" s="21" t="s">
        <v>342</v>
      </c>
      <c r="C18" s="22" t="s">
        <v>343</v>
      </c>
      <c r="D18" s="23" t="s">
        <v>344</v>
      </c>
      <c r="E18" s="31" t="s">
        <v>65</v>
      </c>
      <c r="F18" s="25" t="s">
        <v>54</v>
      </c>
      <c r="G18" s="26">
        <v>20</v>
      </c>
      <c r="H18" s="26">
        <v>5</v>
      </c>
      <c r="I18" s="26">
        <v>25</v>
      </c>
      <c r="J18" s="26">
        <v>4</v>
      </c>
    </row>
    <row r="19" spans="1:10" ht="30" customHeight="1" x14ac:dyDescent="0.3">
      <c r="A19" s="20">
        <v>15</v>
      </c>
      <c r="B19" s="21" t="s">
        <v>342</v>
      </c>
      <c r="C19" s="22" t="s">
        <v>345</v>
      </c>
      <c r="D19" s="23" t="s">
        <v>346</v>
      </c>
      <c r="E19" s="24" t="s">
        <v>53</v>
      </c>
      <c r="F19" s="35" t="s">
        <v>66</v>
      </c>
      <c r="G19" s="26">
        <v>16</v>
      </c>
      <c r="H19" s="26">
        <v>4</v>
      </c>
      <c r="I19" s="26">
        <v>20</v>
      </c>
      <c r="J19" s="26">
        <v>3.5</v>
      </c>
    </row>
    <row r="20" spans="1:10" ht="30" customHeight="1" x14ac:dyDescent="0.3">
      <c r="A20" s="20">
        <v>16</v>
      </c>
      <c r="B20" s="21" t="s">
        <v>342</v>
      </c>
      <c r="C20" s="22" t="s">
        <v>347</v>
      </c>
      <c r="D20" s="23" t="s">
        <v>348</v>
      </c>
      <c r="E20" s="31" t="s">
        <v>65</v>
      </c>
      <c r="F20" s="25" t="s">
        <v>54</v>
      </c>
      <c r="G20" s="26">
        <v>20</v>
      </c>
      <c r="H20" s="26">
        <v>5</v>
      </c>
      <c r="I20" s="26">
        <v>25</v>
      </c>
      <c r="J20" s="26">
        <v>4</v>
      </c>
    </row>
    <row r="21" spans="1:10" ht="30" customHeight="1" x14ac:dyDescent="0.3">
      <c r="A21" s="20">
        <v>17</v>
      </c>
      <c r="B21" s="21" t="s">
        <v>342</v>
      </c>
      <c r="C21" s="22" t="s">
        <v>349</v>
      </c>
      <c r="D21" s="23" t="s">
        <v>350</v>
      </c>
      <c r="E21" s="24" t="s">
        <v>53</v>
      </c>
      <c r="F21" s="35" t="s">
        <v>66</v>
      </c>
      <c r="G21" s="26">
        <v>10</v>
      </c>
      <c r="H21" s="26">
        <v>3</v>
      </c>
      <c r="I21" s="26">
        <v>13</v>
      </c>
      <c r="J21" s="26">
        <v>2</v>
      </c>
    </row>
    <row r="22" spans="1:10" ht="30" customHeight="1" x14ac:dyDescent="0.3">
      <c r="A22" s="20">
        <v>18</v>
      </c>
      <c r="B22" s="21" t="s">
        <v>342</v>
      </c>
      <c r="C22" s="22" t="s">
        <v>351</v>
      </c>
      <c r="D22" s="23" t="s">
        <v>352</v>
      </c>
      <c r="E22" s="24" t="s">
        <v>53</v>
      </c>
      <c r="F22" s="35" t="s">
        <v>66</v>
      </c>
      <c r="G22" s="26">
        <v>12</v>
      </c>
      <c r="H22" s="26">
        <v>4</v>
      </c>
      <c r="I22" s="26">
        <v>16</v>
      </c>
      <c r="J22" s="26">
        <v>2.5</v>
      </c>
    </row>
    <row r="23" spans="1:10" ht="30" customHeight="1" x14ac:dyDescent="0.3">
      <c r="A23" s="11">
        <v>19</v>
      </c>
      <c r="B23" s="28" t="s">
        <v>353</v>
      </c>
      <c r="C23" s="29" t="s">
        <v>354</v>
      </c>
      <c r="D23" s="30" t="s">
        <v>355</v>
      </c>
      <c r="E23" s="24" t="s">
        <v>53</v>
      </c>
      <c r="F23" s="32" t="s">
        <v>66</v>
      </c>
      <c r="G23" s="12">
        <v>10</v>
      </c>
      <c r="H23" s="12">
        <v>2</v>
      </c>
      <c r="I23" s="12">
        <v>12</v>
      </c>
      <c r="J23" s="12">
        <v>2</v>
      </c>
    </row>
    <row r="24" spans="1:10" ht="30" customHeight="1" x14ac:dyDescent="0.3">
      <c r="A24" s="11">
        <v>20</v>
      </c>
      <c r="B24" s="28" t="s">
        <v>353</v>
      </c>
      <c r="C24" s="29" t="s">
        <v>356</v>
      </c>
      <c r="D24" s="30" t="s">
        <v>357</v>
      </c>
      <c r="E24" s="24" t="s">
        <v>53</v>
      </c>
      <c r="F24" s="32" t="s">
        <v>66</v>
      </c>
      <c r="G24" s="12">
        <v>12</v>
      </c>
      <c r="H24" s="12">
        <v>3</v>
      </c>
      <c r="I24" s="12">
        <v>15</v>
      </c>
      <c r="J24" s="12">
        <v>2.5</v>
      </c>
    </row>
    <row r="25" spans="1:10" ht="30" customHeight="1" x14ac:dyDescent="0.3">
      <c r="A25" s="11">
        <v>21</v>
      </c>
      <c r="B25" s="28" t="s">
        <v>353</v>
      </c>
      <c r="C25" s="29" t="s">
        <v>358</v>
      </c>
      <c r="D25" s="30" t="s">
        <v>359</v>
      </c>
      <c r="E25" s="24" t="s">
        <v>53</v>
      </c>
      <c r="F25" s="32" t="s">
        <v>66</v>
      </c>
      <c r="G25" s="12">
        <v>10</v>
      </c>
      <c r="H25" s="12">
        <v>3</v>
      </c>
      <c r="I25" s="12">
        <v>13</v>
      </c>
      <c r="J25" s="12">
        <v>2</v>
      </c>
    </row>
    <row r="26" spans="1:10" ht="30" customHeight="1" x14ac:dyDescent="0.3">
      <c r="A26" s="20">
        <v>22</v>
      </c>
      <c r="B26" s="21" t="s">
        <v>360</v>
      </c>
      <c r="C26" s="22" t="s">
        <v>361</v>
      </c>
      <c r="D26" s="23" t="s">
        <v>362</v>
      </c>
      <c r="E26" s="34" t="s">
        <v>85</v>
      </c>
      <c r="F26" s="35" t="s">
        <v>66</v>
      </c>
      <c r="G26" s="26">
        <v>30</v>
      </c>
      <c r="H26" s="26">
        <v>6</v>
      </c>
      <c r="I26" s="26">
        <v>36</v>
      </c>
      <c r="J26" s="26">
        <v>6</v>
      </c>
    </row>
    <row r="27" spans="1:10" ht="30" customHeight="1" x14ac:dyDescent="0.3">
      <c r="A27" s="20">
        <v>23</v>
      </c>
      <c r="B27" s="21" t="s">
        <v>360</v>
      </c>
      <c r="C27" s="22" t="s">
        <v>363</v>
      </c>
      <c r="D27" s="23" t="s">
        <v>364</v>
      </c>
      <c r="E27" s="31" t="s">
        <v>65</v>
      </c>
      <c r="F27" s="35" t="s">
        <v>66</v>
      </c>
      <c r="G27" s="26">
        <v>20</v>
      </c>
      <c r="H27" s="26">
        <v>5</v>
      </c>
      <c r="I27" s="26">
        <v>25</v>
      </c>
      <c r="J27" s="26">
        <v>4</v>
      </c>
    </row>
    <row r="28" spans="1:10" ht="30" customHeight="1" x14ac:dyDescent="0.3">
      <c r="A28" s="20">
        <v>24</v>
      </c>
      <c r="B28" s="21" t="s">
        <v>360</v>
      </c>
      <c r="C28" s="22" t="s">
        <v>365</v>
      </c>
      <c r="D28" s="23" t="s">
        <v>366</v>
      </c>
      <c r="E28" s="27" t="s">
        <v>57</v>
      </c>
      <c r="F28" s="25" t="s">
        <v>54</v>
      </c>
      <c r="G28" s="26">
        <v>8</v>
      </c>
      <c r="H28" s="26">
        <v>2</v>
      </c>
      <c r="I28" s="26">
        <v>10</v>
      </c>
      <c r="J28" s="26">
        <v>1.5</v>
      </c>
    </row>
    <row r="29" spans="1:10" ht="30" customHeight="1" x14ac:dyDescent="0.3">
      <c r="A29" s="20">
        <v>25</v>
      </c>
      <c r="B29" s="21" t="s">
        <v>360</v>
      </c>
      <c r="C29" s="22" t="s">
        <v>367</v>
      </c>
      <c r="D29" s="23" t="s">
        <v>368</v>
      </c>
      <c r="E29" s="27" t="s">
        <v>57</v>
      </c>
      <c r="F29" s="25" t="s">
        <v>54</v>
      </c>
      <c r="G29" s="26">
        <v>8</v>
      </c>
      <c r="H29" s="26">
        <v>2</v>
      </c>
      <c r="I29" s="26">
        <v>10</v>
      </c>
      <c r="J29" s="26">
        <v>1.5</v>
      </c>
    </row>
    <row r="30" spans="1:10" ht="30" customHeight="1" x14ac:dyDescent="0.3">
      <c r="A30" s="11">
        <v>26</v>
      </c>
      <c r="B30" s="28" t="s">
        <v>369</v>
      </c>
      <c r="C30" s="29" t="s">
        <v>370</v>
      </c>
      <c r="D30" s="30" t="s">
        <v>371</v>
      </c>
      <c r="E30" s="24" t="s">
        <v>53</v>
      </c>
      <c r="F30" s="32" t="s">
        <v>66</v>
      </c>
      <c r="G30" s="12">
        <v>12</v>
      </c>
      <c r="H30" s="12">
        <v>3</v>
      </c>
      <c r="I30" s="12">
        <v>15</v>
      </c>
      <c r="J30" s="12">
        <v>2.5</v>
      </c>
    </row>
    <row r="31" spans="1:10" ht="30" customHeight="1" x14ac:dyDescent="0.3">
      <c r="A31" s="11">
        <v>27</v>
      </c>
      <c r="B31" s="28" t="s">
        <v>369</v>
      </c>
      <c r="C31" s="29" t="s">
        <v>372</v>
      </c>
      <c r="D31" s="30" t="s">
        <v>373</v>
      </c>
      <c r="E31" s="24" t="s">
        <v>53</v>
      </c>
      <c r="F31" s="32" t="s">
        <v>66</v>
      </c>
      <c r="G31" s="12">
        <v>12</v>
      </c>
      <c r="H31" s="12">
        <v>3</v>
      </c>
      <c r="I31" s="12">
        <v>15</v>
      </c>
      <c r="J31" s="12">
        <v>2.5</v>
      </c>
    </row>
    <row r="32" spans="1:10" ht="30" customHeight="1" x14ac:dyDescent="0.3">
      <c r="A32" s="11">
        <v>28</v>
      </c>
      <c r="B32" s="28" t="s">
        <v>369</v>
      </c>
      <c r="C32" s="29" t="s">
        <v>374</v>
      </c>
      <c r="D32" s="30" t="s">
        <v>375</v>
      </c>
      <c r="E32" s="27" t="s">
        <v>57</v>
      </c>
      <c r="F32" s="32" t="s">
        <v>66</v>
      </c>
      <c r="G32" s="12">
        <v>6</v>
      </c>
      <c r="H32" s="12">
        <v>2</v>
      </c>
      <c r="I32" s="12">
        <v>8</v>
      </c>
      <c r="J32" s="12">
        <v>1.5</v>
      </c>
    </row>
    <row r="33" spans="1:10" ht="30" customHeight="1" x14ac:dyDescent="0.3">
      <c r="A33" s="20">
        <v>29</v>
      </c>
      <c r="B33" s="21" t="s">
        <v>376</v>
      </c>
      <c r="C33" s="22" t="s">
        <v>377</v>
      </c>
      <c r="D33" s="23" t="s">
        <v>378</v>
      </c>
      <c r="E33" s="31" t="s">
        <v>65</v>
      </c>
      <c r="F33" s="25" t="s">
        <v>54</v>
      </c>
      <c r="G33" s="26">
        <v>20</v>
      </c>
      <c r="H33" s="26">
        <v>4</v>
      </c>
      <c r="I33" s="26">
        <v>24</v>
      </c>
      <c r="J33" s="26">
        <v>4</v>
      </c>
    </row>
    <row r="34" spans="1:10" ht="30" customHeight="1" x14ac:dyDescent="0.3">
      <c r="A34" s="20">
        <v>30</v>
      </c>
      <c r="B34" s="21" t="s">
        <v>376</v>
      </c>
      <c r="C34" s="22" t="s">
        <v>379</v>
      </c>
      <c r="D34" s="23" t="s">
        <v>380</v>
      </c>
      <c r="E34" s="24" t="s">
        <v>53</v>
      </c>
      <c r="F34" s="25" t="s">
        <v>54</v>
      </c>
      <c r="G34" s="26">
        <v>12</v>
      </c>
      <c r="H34" s="26">
        <v>3</v>
      </c>
      <c r="I34" s="26">
        <v>15</v>
      </c>
      <c r="J34" s="26">
        <v>2.5</v>
      </c>
    </row>
    <row r="35" spans="1:10" ht="30" customHeight="1" x14ac:dyDescent="0.3">
      <c r="A35" s="20">
        <v>31</v>
      </c>
      <c r="B35" s="21" t="s">
        <v>376</v>
      </c>
      <c r="C35" s="22" t="s">
        <v>381</v>
      </c>
      <c r="D35" s="23" t="s">
        <v>382</v>
      </c>
      <c r="E35" s="24" t="s">
        <v>53</v>
      </c>
      <c r="F35" s="25" t="s">
        <v>54</v>
      </c>
      <c r="G35" s="26">
        <v>12</v>
      </c>
      <c r="H35" s="26">
        <v>3</v>
      </c>
      <c r="I35" s="26">
        <v>15</v>
      </c>
      <c r="J35" s="26">
        <v>2.5</v>
      </c>
    </row>
    <row r="36" spans="1:10" ht="30" customHeight="1" x14ac:dyDescent="0.3">
      <c r="A36" s="11">
        <v>32</v>
      </c>
      <c r="B36" s="28" t="s">
        <v>383</v>
      </c>
      <c r="C36" s="29" t="s">
        <v>384</v>
      </c>
      <c r="D36" s="30" t="s">
        <v>385</v>
      </c>
      <c r="E36" s="31" t="s">
        <v>65</v>
      </c>
      <c r="F36" s="32" t="s">
        <v>66</v>
      </c>
      <c r="G36" s="12">
        <v>16</v>
      </c>
      <c r="H36" s="12">
        <v>4</v>
      </c>
      <c r="I36" s="12">
        <v>20</v>
      </c>
      <c r="J36" s="12">
        <v>3.5</v>
      </c>
    </row>
    <row r="37" spans="1:10" ht="30" customHeight="1" x14ac:dyDescent="0.3">
      <c r="A37" s="11">
        <v>33</v>
      </c>
      <c r="B37" s="28" t="s">
        <v>383</v>
      </c>
      <c r="C37" s="29" t="s">
        <v>386</v>
      </c>
      <c r="D37" s="30" t="s">
        <v>387</v>
      </c>
      <c r="E37" s="24" t="s">
        <v>53</v>
      </c>
      <c r="F37" s="32" t="s">
        <v>66</v>
      </c>
      <c r="G37" s="12">
        <v>12</v>
      </c>
      <c r="H37" s="12">
        <v>3</v>
      </c>
      <c r="I37" s="12">
        <v>15</v>
      </c>
      <c r="J37" s="12">
        <v>2.5</v>
      </c>
    </row>
    <row r="38" spans="1:10" ht="30" customHeight="1" x14ac:dyDescent="0.3">
      <c r="A38" s="11">
        <v>34</v>
      </c>
      <c r="B38" s="28" t="s">
        <v>383</v>
      </c>
      <c r="C38" s="29" t="s">
        <v>388</v>
      </c>
      <c r="D38" s="30" t="s">
        <v>389</v>
      </c>
      <c r="E38" s="24" t="s">
        <v>53</v>
      </c>
      <c r="F38" s="32" t="s">
        <v>66</v>
      </c>
      <c r="G38" s="12">
        <v>12</v>
      </c>
      <c r="H38" s="12">
        <v>3</v>
      </c>
      <c r="I38" s="12">
        <v>15</v>
      </c>
      <c r="J38" s="12">
        <v>2.5</v>
      </c>
    </row>
    <row r="39" spans="1:10" ht="30" customHeight="1" x14ac:dyDescent="0.3">
      <c r="A39" s="11">
        <v>35</v>
      </c>
      <c r="B39" s="28" t="s">
        <v>383</v>
      </c>
      <c r="C39" s="29" t="s">
        <v>390</v>
      </c>
      <c r="D39" s="30" t="s">
        <v>391</v>
      </c>
      <c r="E39" s="24" t="s">
        <v>53</v>
      </c>
      <c r="F39" s="33" t="s">
        <v>54</v>
      </c>
      <c r="G39" s="12">
        <v>12</v>
      </c>
      <c r="H39" s="12">
        <v>3</v>
      </c>
      <c r="I39" s="12">
        <v>15</v>
      </c>
      <c r="J39" s="12">
        <v>2.5</v>
      </c>
    </row>
    <row r="40" spans="1:10" ht="30" customHeight="1" x14ac:dyDescent="0.3">
      <c r="A40" s="11">
        <v>36</v>
      </c>
      <c r="B40" s="28" t="s">
        <v>383</v>
      </c>
      <c r="C40" s="29" t="s">
        <v>392</v>
      </c>
      <c r="D40" s="30" t="s">
        <v>393</v>
      </c>
      <c r="E40" s="24" t="s">
        <v>53</v>
      </c>
      <c r="F40" s="32" t="s">
        <v>66</v>
      </c>
      <c r="G40" s="12">
        <v>10</v>
      </c>
      <c r="H40" s="12">
        <v>3</v>
      </c>
      <c r="I40" s="12">
        <v>13</v>
      </c>
      <c r="J40" s="12">
        <v>2</v>
      </c>
    </row>
    <row r="41" spans="1:10" ht="30" customHeight="1" x14ac:dyDescent="0.3">
      <c r="A41" s="11">
        <v>37</v>
      </c>
      <c r="B41" s="28" t="s">
        <v>383</v>
      </c>
      <c r="C41" s="29" t="s">
        <v>394</v>
      </c>
      <c r="D41" s="30" t="s">
        <v>395</v>
      </c>
      <c r="E41" s="24" t="s">
        <v>53</v>
      </c>
      <c r="F41" s="33" t="s">
        <v>54</v>
      </c>
      <c r="G41" s="12">
        <v>10</v>
      </c>
      <c r="H41" s="12">
        <v>3</v>
      </c>
      <c r="I41" s="12">
        <v>13</v>
      </c>
      <c r="J41" s="12">
        <v>2</v>
      </c>
    </row>
    <row r="42" spans="1:10" ht="22.05" customHeight="1" x14ac:dyDescent="0.3">
      <c r="A42" s="48" t="s">
        <v>396</v>
      </c>
      <c r="B42" s="49"/>
      <c r="C42" s="49"/>
      <c r="D42" s="49"/>
      <c r="E42" s="49"/>
      <c r="F42" s="49"/>
      <c r="G42" s="5">
        <v>518</v>
      </c>
      <c r="H42" s="5">
        <v>125</v>
      </c>
      <c r="I42" s="5">
        <v>643</v>
      </c>
      <c r="J42" s="5">
        <v>107</v>
      </c>
    </row>
  </sheetData>
  <autoFilter ref="A4:J41"/>
  <mergeCells count="3">
    <mergeCell ref="A1:J1"/>
    <mergeCell ref="A42:F4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1. Business Modules</vt:lpstr>
      <vt:lpstr>2. Volunteer &amp; Membership</vt:lpstr>
      <vt:lpstr>3. AI Features</vt:lpstr>
      <vt:lpstr>4. System, Roles &amp; Platform</vt:lpstr>
      <vt:lpstr>5. Client Onboarding, Comms &amp; L</vt:lpstr>
      <vt:lpstr>6. Engineering &amp; Platform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2026-07-14T14:29:34Z</dcterms:created>
  <dcterms:modified xsi:type="dcterms:W3CDTF">2026-07-14T14:32:30Z</dcterms:modified>
</cp:coreProperties>
</file>