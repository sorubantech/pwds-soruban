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mc:AlternateContent xmlns:mc="http://schemas.openxmlformats.org/markup-compatibility/2006">
    <mc:Choice Requires="x15">
      <x15ac:absPath xmlns:x15ac="http://schemas.microsoft.com/office/spreadsheetml/2010/11/ac" url="D:\Repos\PWDS\pwds-soruban - Copy\pss-2.0-global\.claude\screen-tracker\"/>
    </mc:Choice>
  </mc:AlternateContent>
  <xr:revisionPtr revIDLastSave="0" documentId="8_{E424030D-A5E3-4C26-B12C-D692DFE8857B}" xr6:coauthVersionLast="47" xr6:coauthVersionMax="47" xr10:uidLastSave="{00000000-0000-0000-0000-000000000000}"/>
  <bookViews>
    <workbookView xWindow="0" yWindow="0" windowWidth="23040" windowHeight="9072" activeTab="4" xr2:uid="{00000000-000D-0000-FFFF-FFFF00000000}"/>
  </bookViews>
  <sheets>
    <sheet name="Screen Status" sheetId="1" r:id="rId1"/>
    <sheet name="Lookups" sheetId="2" state="hidden" r:id="rId2"/>
    <sheet name="Summary" sheetId="3" r:id="rId3"/>
    <sheet name="Dev Test Cases" sheetId="4" r:id="rId4"/>
    <sheet name="Your Pending List" sheetId="5" r:id="rId5"/>
    <sheet name="My Review Findings" sheetId="6" r:id="rId10"/>
  </sheets>
  <definedNames>
    <definedName name="_xlnm._FilterDatabase" localSheetId="0" hidden="1">'Screen Status'!$A$1:$M$144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3" l="1"/>
  <c r="J56" i="3"/>
  <c r="I56" i="3"/>
  <c r="H56" i="3"/>
  <c r="G56" i="3"/>
  <c r="F56" i="3"/>
  <c r="E56" i="3"/>
  <c r="D56" i="3"/>
  <c r="C56" i="3"/>
  <c r="B56" i="3"/>
  <c r="K56" i="3" s="1"/>
  <c r="J55" i="3"/>
  <c r="I55" i="3"/>
  <c r="H55" i="3"/>
  <c r="G55" i="3"/>
  <c r="F55" i="3"/>
  <c r="E55" i="3"/>
  <c r="D55" i="3"/>
  <c r="C55" i="3"/>
  <c r="B55" i="3"/>
  <c r="J54" i="3"/>
  <c r="I54" i="3"/>
  <c r="H54" i="3"/>
  <c r="G54" i="3"/>
  <c r="F54" i="3"/>
  <c r="E54" i="3"/>
  <c r="D54" i="3"/>
  <c r="C54" i="3"/>
  <c r="B54" i="3"/>
  <c r="J53" i="3"/>
  <c r="I53" i="3"/>
  <c r="H53" i="3"/>
  <c r="G53" i="3"/>
  <c r="F53" i="3"/>
  <c r="E53" i="3"/>
  <c r="D53" i="3"/>
  <c r="B53" i="3"/>
  <c r="E49" i="3"/>
  <c r="D49" i="3"/>
  <c r="C49" i="3"/>
  <c r="B49" i="3"/>
  <c r="E48" i="3"/>
  <c r="D48" i="3"/>
  <c r="C48" i="3"/>
  <c r="B48" i="3"/>
  <c r="E47" i="3"/>
  <c r="D47" i="3"/>
  <c r="C47" i="3"/>
  <c r="B47" i="3"/>
  <c r="Q43" i="3"/>
  <c r="P43" i="3"/>
  <c r="O43" i="3"/>
  <c r="N43" i="3"/>
  <c r="M43" i="3"/>
  <c r="L43" i="3"/>
  <c r="K43" i="3"/>
  <c r="J43" i="3"/>
  <c r="I43" i="3"/>
  <c r="H43" i="3"/>
  <c r="G43" i="3"/>
  <c r="F43" i="3"/>
  <c r="E43" i="3"/>
  <c r="D43" i="3"/>
  <c r="C43" i="3"/>
  <c r="B43" i="3"/>
  <c r="Q42" i="3"/>
  <c r="P42" i="3"/>
  <c r="O42" i="3"/>
  <c r="N42" i="3"/>
  <c r="M42" i="3"/>
  <c r="L42" i="3"/>
  <c r="K42" i="3"/>
  <c r="J42" i="3"/>
  <c r="I42" i="3"/>
  <c r="H42" i="3"/>
  <c r="G42" i="3"/>
  <c r="F42" i="3"/>
  <c r="E42" i="3"/>
  <c r="D42" i="3"/>
  <c r="C42" i="3"/>
  <c r="B42" i="3"/>
  <c r="Q41" i="3"/>
  <c r="P41" i="3"/>
  <c r="O41" i="3"/>
  <c r="N41" i="3"/>
  <c r="M41" i="3"/>
  <c r="L41" i="3"/>
  <c r="K41" i="3"/>
  <c r="J41" i="3"/>
  <c r="I41" i="3"/>
  <c r="H41" i="3"/>
  <c r="G41" i="3"/>
  <c r="F41" i="3"/>
  <c r="E41" i="3"/>
  <c r="D41" i="3"/>
  <c r="C41" i="3"/>
  <c r="B41" i="3"/>
  <c r="Q40" i="3"/>
  <c r="P40" i="3"/>
  <c r="O40" i="3"/>
  <c r="N40" i="3"/>
  <c r="M40" i="3"/>
  <c r="L40" i="3"/>
  <c r="K40" i="3"/>
  <c r="J40" i="3"/>
  <c r="I40" i="3"/>
  <c r="H40" i="3"/>
  <c r="G40" i="3"/>
  <c r="F40" i="3"/>
  <c r="E40" i="3"/>
  <c r="D40" i="3"/>
  <c r="C40" i="3"/>
  <c r="B40" i="3"/>
  <c r="Q39" i="3"/>
  <c r="P39" i="3"/>
  <c r="O39" i="3"/>
  <c r="N39" i="3"/>
  <c r="M39" i="3"/>
  <c r="L39" i="3"/>
  <c r="K39" i="3"/>
  <c r="J39" i="3"/>
  <c r="I39" i="3"/>
  <c r="H39" i="3"/>
  <c r="G39" i="3"/>
  <c r="F39" i="3"/>
  <c r="E39" i="3"/>
  <c r="D39" i="3"/>
  <c r="C39" i="3"/>
  <c r="B39" i="3"/>
  <c r="Q38" i="3"/>
  <c r="P38" i="3"/>
  <c r="O38" i="3"/>
  <c r="N38" i="3"/>
  <c r="M38" i="3"/>
  <c r="L38" i="3"/>
  <c r="K38" i="3"/>
  <c r="J38" i="3"/>
  <c r="I38" i="3"/>
  <c r="H38" i="3"/>
  <c r="G38" i="3"/>
  <c r="F38" i="3"/>
  <c r="E38" i="3"/>
  <c r="D38" i="3"/>
  <c r="C38" i="3"/>
  <c r="B38" i="3"/>
  <c r="Q37" i="3"/>
  <c r="P37" i="3"/>
  <c r="O37" i="3"/>
  <c r="N37" i="3"/>
  <c r="M37" i="3"/>
  <c r="L37" i="3"/>
  <c r="K37" i="3"/>
  <c r="J37" i="3"/>
  <c r="I37" i="3"/>
  <c r="H37" i="3"/>
  <c r="G37" i="3"/>
  <c r="F37" i="3"/>
  <c r="E37" i="3"/>
  <c r="D37" i="3"/>
  <c r="C37" i="3"/>
  <c r="B37" i="3"/>
  <c r="Q36" i="3"/>
  <c r="P36" i="3"/>
  <c r="O36" i="3"/>
  <c r="N36" i="3"/>
  <c r="M36" i="3"/>
  <c r="L36" i="3"/>
  <c r="K36" i="3"/>
  <c r="J36" i="3"/>
  <c r="I36" i="3"/>
  <c r="H36" i="3"/>
  <c r="G36" i="3"/>
  <c r="F36" i="3"/>
  <c r="E36" i="3"/>
  <c r="D36" i="3"/>
  <c r="C36" i="3"/>
  <c r="B36" i="3"/>
  <c r="Q35" i="3"/>
  <c r="P35" i="3"/>
  <c r="O35" i="3"/>
  <c r="N35" i="3"/>
  <c r="M35" i="3"/>
  <c r="L35" i="3"/>
  <c r="K35" i="3"/>
  <c r="J35" i="3"/>
  <c r="I35" i="3"/>
  <c r="H35" i="3"/>
  <c r="G35" i="3"/>
  <c r="F35" i="3"/>
  <c r="E35" i="3"/>
  <c r="D35" i="3"/>
  <c r="C35" i="3"/>
  <c r="B35" i="3"/>
  <c r="Q34" i="3"/>
  <c r="P34" i="3"/>
  <c r="O34" i="3"/>
  <c r="N34" i="3"/>
  <c r="M34" i="3"/>
  <c r="L34" i="3"/>
  <c r="K34" i="3"/>
  <c r="J34" i="3"/>
  <c r="I34" i="3"/>
  <c r="H34" i="3"/>
  <c r="G34" i="3"/>
  <c r="F34" i="3"/>
  <c r="E34" i="3"/>
  <c r="D34" i="3"/>
  <c r="C34" i="3"/>
  <c r="B34" i="3"/>
  <c r="Q33" i="3"/>
  <c r="P33" i="3"/>
  <c r="O33" i="3"/>
  <c r="N33" i="3"/>
  <c r="M33" i="3"/>
  <c r="L33" i="3"/>
  <c r="K33" i="3"/>
  <c r="J33" i="3"/>
  <c r="I33" i="3"/>
  <c r="H33" i="3"/>
  <c r="G33" i="3"/>
  <c r="F33" i="3"/>
  <c r="E33" i="3"/>
  <c r="D33" i="3"/>
  <c r="C33" i="3"/>
  <c r="B33" i="3"/>
  <c r="Q32" i="3"/>
  <c r="P32" i="3"/>
  <c r="O32" i="3"/>
  <c r="N32" i="3"/>
  <c r="M32" i="3"/>
  <c r="L32" i="3"/>
  <c r="K32" i="3"/>
  <c r="J32" i="3"/>
  <c r="I32" i="3"/>
  <c r="H32" i="3"/>
  <c r="G32" i="3"/>
  <c r="F32" i="3"/>
  <c r="E32" i="3"/>
  <c r="D32" i="3"/>
  <c r="C32" i="3"/>
  <c r="B32" i="3"/>
  <c r="Q31" i="3"/>
  <c r="P31" i="3"/>
  <c r="O31" i="3"/>
  <c r="N31" i="3"/>
  <c r="M31" i="3"/>
  <c r="L31" i="3"/>
  <c r="K31" i="3"/>
  <c r="J31" i="3"/>
  <c r="I31" i="3"/>
  <c r="H31" i="3"/>
  <c r="G31" i="3"/>
  <c r="F31" i="3"/>
  <c r="E31" i="3"/>
  <c r="D31" i="3"/>
  <c r="C31" i="3"/>
  <c r="B31" i="3"/>
  <c r="Q30" i="3"/>
  <c r="P30" i="3"/>
  <c r="O30" i="3"/>
  <c r="N30" i="3"/>
  <c r="M30" i="3"/>
  <c r="L30" i="3"/>
  <c r="K30" i="3"/>
  <c r="J30" i="3"/>
  <c r="I30" i="3"/>
  <c r="H30" i="3"/>
  <c r="G30" i="3"/>
  <c r="F30" i="3"/>
  <c r="E30" i="3"/>
  <c r="D30" i="3"/>
  <c r="C30" i="3"/>
  <c r="B30" i="3"/>
  <c r="Q29" i="3"/>
  <c r="P29" i="3"/>
  <c r="O29" i="3"/>
  <c r="N29" i="3"/>
  <c r="M29" i="3"/>
  <c r="L29" i="3"/>
  <c r="K29" i="3"/>
  <c r="J29" i="3"/>
  <c r="I29" i="3"/>
  <c r="H29" i="3"/>
  <c r="G29" i="3"/>
  <c r="F29" i="3"/>
  <c r="E29" i="3"/>
  <c r="D29" i="3"/>
  <c r="C29" i="3"/>
  <c r="B29" i="3"/>
  <c r="Q28" i="3"/>
  <c r="P28" i="3"/>
  <c r="O28" i="3"/>
  <c r="N28" i="3"/>
  <c r="M28" i="3"/>
  <c r="L28" i="3"/>
  <c r="K28" i="3"/>
  <c r="J28" i="3"/>
  <c r="I28" i="3"/>
  <c r="H28" i="3"/>
  <c r="G28" i="3"/>
  <c r="F28" i="3"/>
  <c r="E28" i="3"/>
  <c r="D28" i="3"/>
  <c r="C28" i="3"/>
  <c r="B28" i="3"/>
  <c r="K24" i="3"/>
  <c r="J24" i="3"/>
  <c r="I24" i="3"/>
  <c r="H24" i="3"/>
  <c r="G24" i="3"/>
  <c r="F24" i="3"/>
  <c r="E24" i="3"/>
  <c r="D24" i="3"/>
  <c r="C24" i="3"/>
  <c r="B24" i="3"/>
  <c r="K23" i="3"/>
  <c r="J23" i="3"/>
  <c r="I23" i="3"/>
  <c r="H23" i="3"/>
  <c r="G23" i="3"/>
  <c r="F23" i="3"/>
  <c r="E23" i="3"/>
  <c r="D23" i="3"/>
  <c r="C23" i="3"/>
  <c r="B23" i="3"/>
  <c r="K22" i="3"/>
  <c r="J22" i="3"/>
  <c r="I22" i="3"/>
  <c r="H22" i="3"/>
  <c r="G22" i="3"/>
  <c r="F22" i="3"/>
  <c r="E22" i="3"/>
  <c r="D22" i="3"/>
  <c r="C22" i="3"/>
  <c r="B22" i="3"/>
  <c r="K21" i="3"/>
  <c r="J21" i="3"/>
  <c r="I21" i="3"/>
  <c r="H21" i="3"/>
  <c r="G21" i="3"/>
  <c r="F21" i="3"/>
  <c r="E21" i="3"/>
  <c r="D21" i="3"/>
  <c r="C21" i="3"/>
  <c r="B21" i="3"/>
  <c r="K20" i="3"/>
  <c r="J20" i="3"/>
  <c r="I20" i="3"/>
  <c r="H20" i="3"/>
  <c r="G20" i="3"/>
  <c r="F20" i="3"/>
  <c r="E20" i="3"/>
  <c r="D20" i="3"/>
  <c r="C20" i="3"/>
  <c r="B20" i="3"/>
  <c r="K19" i="3"/>
  <c r="J19" i="3"/>
  <c r="I19" i="3"/>
  <c r="H19" i="3"/>
  <c r="G19" i="3"/>
  <c r="F19" i="3"/>
  <c r="E19" i="3"/>
  <c r="D19" i="3"/>
  <c r="C19" i="3"/>
  <c r="B19" i="3"/>
  <c r="K18" i="3"/>
  <c r="J18" i="3"/>
  <c r="I18" i="3"/>
  <c r="H18" i="3"/>
  <c r="G18" i="3"/>
  <c r="F18" i="3"/>
  <c r="E18" i="3"/>
  <c r="D18" i="3"/>
  <c r="C18" i="3"/>
  <c r="B18" i="3"/>
  <c r="K17" i="3"/>
  <c r="J17" i="3"/>
  <c r="I17" i="3"/>
  <c r="H17" i="3"/>
  <c r="G17" i="3"/>
  <c r="F17" i="3"/>
  <c r="E17" i="3"/>
  <c r="D17" i="3"/>
  <c r="C17" i="3"/>
  <c r="B17" i="3"/>
  <c r="K16" i="3"/>
  <c r="J16" i="3"/>
  <c r="I16" i="3"/>
  <c r="H16" i="3"/>
  <c r="G16" i="3"/>
  <c r="F16" i="3"/>
  <c r="E16" i="3"/>
  <c r="D16" i="3"/>
  <c r="C16" i="3"/>
  <c r="B16" i="3"/>
  <c r="K15" i="3"/>
  <c r="J15" i="3"/>
  <c r="I15" i="3"/>
  <c r="H15" i="3"/>
  <c r="G15" i="3"/>
  <c r="F15" i="3"/>
  <c r="E15" i="3"/>
  <c r="D15" i="3"/>
  <c r="C15" i="3"/>
  <c r="B15" i="3"/>
  <c r="K14" i="3"/>
  <c r="J14" i="3"/>
  <c r="I14" i="3"/>
  <c r="H14" i="3"/>
  <c r="G14" i="3"/>
  <c r="F14" i="3"/>
  <c r="E14" i="3"/>
  <c r="D14" i="3"/>
  <c r="C14" i="3"/>
  <c r="B14" i="3"/>
  <c r="K13" i="3"/>
  <c r="J13" i="3"/>
  <c r="I13" i="3"/>
  <c r="H13" i="3"/>
  <c r="G13" i="3"/>
  <c r="F13" i="3"/>
  <c r="E13" i="3"/>
  <c r="D13" i="3"/>
  <c r="C13" i="3"/>
  <c r="B13" i="3"/>
  <c r="K12" i="3"/>
  <c r="J12" i="3"/>
  <c r="I12" i="3"/>
  <c r="H12" i="3"/>
  <c r="G12" i="3"/>
  <c r="F12" i="3"/>
  <c r="E12" i="3"/>
  <c r="D12" i="3"/>
  <c r="C12" i="3"/>
  <c r="B12" i="3"/>
  <c r="K11" i="3"/>
  <c r="J11" i="3"/>
  <c r="I11" i="3"/>
  <c r="H11" i="3"/>
  <c r="G11" i="3"/>
  <c r="F11" i="3"/>
  <c r="E11" i="3"/>
  <c r="D11" i="3"/>
  <c r="C11" i="3"/>
  <c r="B11" i="3"/>
  <c r="K10" i="3"/>
  <c r="J10" i="3"/>
  <c r="I10" i="3"/>
  <c r="H10" i="3"/>
  <c r="G10" i="3"/>
  <c r="F10" i="3"/>
  <c r="E10" i="3"/>
  <c r="D10" i="3"/>
  <c r="C10" i="3"/>
  <c r="B10" i="3"/>
  <c r="K9" i="3"/>
  <c r="J9" i="3"/>
  <c r="I9" i="3"/>
  <c r="H9" i="3"/>
  <c r="G9" i="3"/>
  <c r="F9" i="3"/>
  <c r="E9" i="3"/>
  <c r="D9" i="3"/>
  <c r="C9" i="3"/>
  <c r="B9" i="3"/>
  <c r="I5" i="3"/>
  <c r="H5" i="3"/>
  <c r="G5" i="3"/>
  <c r="F5" i="3"/>
  <c r="E5" i="3"/>
  <c r="D5" i="3"/>
  <c r="C5" i="3"/>
  <c r="B5" i="3"/>
  <c r="A5" i="3"/>
  <c r="K54" i="3" l="1"/>
  <c r="K55" i="3"/>
  <c r="K53" i="3"/>
</calcChain>
</file>

<file path=xl/sharedStrings.xml><?xml version="1.0" encoding="utf-8"?>
<sst xmlns="http://schemas.openxmlformats.org/spreadsheetml/2006/main" count="1356" uniqueCount="251">
  <si>
    <t>Screen #</t>
  </si>
  <si>
    <t>Module</t>
  </si>
  <si>
    <t>Screen Name</t>
  </si>
  <si>
    <t>Type</t>
  </si>
  <si>
    <t>Priority</t>
  </si>
  <si>
    <t>Dev Hrs Est</t>
  </si>
  <si>
    <t>Development Status</t>
  </si>
  <si>
    <t>Development Done By</t>
  </si>
  <si>
    <t>DevTest Hrs Est</t>
  </si>
  <si>
    <t>Dev Testing Status</t>
  </si>
  <si>
    <t>Dev Tested By</t>
  </si>
  <si>
    <t>QA Hrs Est</t>
  </si>
  <si>
    <t>QA Testing Status</t>
  </si>
  <si>
    <t>QA Tested By</t>
  </si>
  <si>
    <t>Fundraising</t>
  </si>
  <si>
    <t>Donation (Global)</t>
  </si>
  <si>
    <t>FLOW</t>
  </si>
  <si>
    <t>Medium</t>
  </si>
  <si>
    <t>Completed</t>
  </si>
  <si>
    <t>Karthick</t>
  </si>
  <si>
    <t>Passed</t>
  </si>
  <si>
    <t>Not Started</t>
  </si>
  <si>
    <t>Donation Purpose</t>
  </si>
  <si>
    <t>MASTER_GRID</t>
  </si>
  <si>
    <t>Saranya</t>
  </si>
  <si>
    <t>Donation Category</t>
  </si>
  <si>
    <t>Donation Group</t>
  </si>
  <si>
    <t>Bulk Donation</t>
  </si>
  <si>
    <t>Cheque Donation</t>
  </si>
  <si>
    <t>In-Kind Donation</t>
  </si>
  <si>
    <t>Recurring Donation</t>
  </si>
  <si>
    <t>Receipt (GlobalReceipt)</t>
  </si>
  <si>
    <t>Online Donation Setup</t>
  </si>
  <si>
    <t>Matching Gift</t>
  </si>
  <si>
    <t>High</t>
  </si>
  <si>
    <t>Pending</t>
  </si>
  <si>
    <t>Pledge</t>
  </si>
  <si>
    <t>Kavin</t>
  </si>
  <si>
    <t>Refund</t>
  </si>
  <si>
    <t>Payment Reconciliation</t>
  </si>
  <si>
    <t>P2P Campaign</t>
  </si>
  <si>
    <t>In Testing</t>
  </si>
  <si>
    <t>Crowdfunding</t>
  </si>
  <si>
    <t>Contacts</t>
  </si>
  <si>
    <t>Contact</t>
  </si>
  <si>
    <t>Contact Type</t>
  </si>
  <si>
    <t>Family</t>
  </si>
  <si>
    <t>Duplicate Detection</t>
  </si>
  <si>
    <t>Tags &amp; Segmentation</t>
  </si>
  <si>
    <t>Contact Import</t>
  </si>
  <si>
    <t>Communication</t>
  </si>
  <si>
    <t>Email Template</t>
  </si>
  <si>
    <t>Email Campaign/SendJob</t>
  </si>
  <si>
    <t>Placeholder Definition</t>
  </si>
  <si>
    <t>Saved Filter</t>
  </si>
  <si>
    <t>Company Email Provider</t>
  </si>
  <si>
    <t>SMS Template</t>
  </si>
  <si>
    <t>SMS Campaign</t>
  </si>
  <si>
    <t>Working</t>
  </si>
  <si>
    <t>WhatsApp Template</t>
  </si>
  <si>
    <t>WhatsApp Campaign</t>
  </si>
  <si>
    <t>WhatsApp Conversations</t>
  </si>
  <si>
    <t>WhatsApp Setup</t>
  </si>
  <si>
    <t>Config</t>
  </si>
  <si>
    <t>Notification Center</t>
  </si>
  <si>
    <t>Notification Templates</t>
  </si>
  <si>
    <t>Automation Workflow</t>
  </si>
  <si>
    <t>Low</t>
  </si>
  <si>
    <t>Email Analytics</t>
  </si>
  <si>
    <t>Dashboard</t>
  </si>
  <si>
    <t>N/A (Upcoming)</t>
  </si>
  <si>
    <t>Organization</t>
  </si>
  <si>
    <t>Campaign</t>
  </si>
  <si>
    <t>Event</t>
  </si>
  <si>
    <t>Branch</t>
  </si>
  <si>
    <t>Staff (combined: Staff + User Role)</t>
  </si>
  <si>
    <t>Staff Category</t>
  </si>
  <si>
    <t>Organizational Unit</t>
  </si>
  <si>
    <t>Company</t>
  </si>
  <si>
    <t>Event Ticketing</t>
  </si>
  <si>
    <t>Event Analytics</t>
  </si>
  <si>
    <t>Auction Management</t>
  </si>
  <si>
    <t>Case Management</t>
  </si>
  <si>
    <t>Beneficiary</t>
  </si>
  <si>
    <t>Case</t>
  </si>
  <si>
    <t>Program</t>
  </si>
  <si>
    <t>Case Dashboard</t>
  </si>
  <si>
    <t>Volunteer</t>
  </si>
  <si>
    <t>Volunteer Schedule</t>
  </si>
  <si>
    <t>Hour Tracking</t>
  </si>
  <si>
    <t>Volunteer Dashboard</t>
  </si>
  <si>
    <t>Membership</t>
  </si>
  <si>
    <t>Membership Tier</t>
  </si>
  <si>
    <t>Member Enrollment</t>
  </si>
  <si>
    <t>Membership Renewal</t>
  </si>
  <si>
    <t>Member Portal</t>
  </si>
  <si>
    <t>Grants</t>
  </si>
  <si>
    <t>Grant</t>
  </si>
  <si>
    <t>Shyam</t>
  </si>
  <si>
    <t>Grant Report</t>
  </si>
  <si>
    <t>Grant Calendar</t>
  </si>
  <si>
    <t>Field Collection</t>
  </si>
  <si>
    <t>Receipt Book</t>
  </si>
  <si>
    <t>Ambassador</t>
  </si>
  <si>
    <t>Ambassador Dashboard</t>
  </si>
  <si>
    <t>Administration</t>
  </si>
  <si>
    <t>Role Management (combined: Role + Capability + Role-Capability Matrix)</t>
  </si>
  <si>
    <t>Menu Management</t>
  </si>
  <si>
    <t>User Management</t>
  </si>
  <si>
    <t>Audit Trail</t>
  </si>
  <si>
    <t>Company Settings</t>
  </si>
  <si>
    <t>Settings</t>
  </si>
  <si>
    <t>Grid Config (combined: Grid Config + Field master + Custom Fields)</t>
  </si>
  <si>
    <t>Dashboard Config (combined: Dashboard Config + Dashboard Layout + Widget cluster)</t>
  </si>
  <si>
    <t>Currency Management</t>
  </si>
  <si>
    <t>Region Hierarchy</t>
  </si>
  <si>
    <t>Document Types</t>
  </si>
  <si>
    <t>Certificate Templates</t>
  </si>
  <si>
    <t>Email Provider Config</t>
  </si>
  <si>
    <t>API Management</t>
  </si>
  <si>
    <t>Integration Marketplace</t>
  </si>
  <si>
    <t>Accounting Integration</t>
  </si>
  <si>
    <t>Social Media Integration</t>
  </si>
  <si>
    <t>AI Intelligence</t>
  </si>
  <si>
    <t>Engagement Scoring</t>
  </si>
  <si>
    <t>Upcoming</t>
  </si>
  <si>
    <t>Churn Prediction</t>
  </si>
  <si>
    <t>Action Board</t>
  </si>
  <si>
    <t>AI Draft</t>
  </si>
  <si>
    <t>NL Reporting</t>
  </si>
  <si>
    <t>Predictive Analytics</t>
  </si>
  <si>
    <t>Reports</t>
  </si>
  <si>
    <t>Custom Report Builder</t>
  </si>
  <si>
    <t>PowerBI Viewer</t>
  </si>
  <si>
    <t>Donor Retention Dashboard</t>
  </si>
  <si>
    <t>Report Catalog</t>
  </si>
  <si>
    <t>HTML Report Viewer</t>
  </si>
  <si>
    <t>Scheduled Reports</t>
  </si>
  <si>
    <t>Root / Layout</t>
  </si>
  <si>
    <t>Login</t>
  </si>
  <si>
    <t>Auth</t>
  </si>
  <si>
    <t>Main Dashboard</t>
  </si>
  <si>
    <t>App Layout</t>
  </si>
  <si>
    <t>Layout</t>
  </si>
  <si>
    <t>In Progress (Partial)</t>
  </si>
  <si>
    <t>Contact Source</t>
  </si>
  <si>
    <t>Contact Dashboard</t>
  </si>
  <si>
    <t>Donation Dashboard</t>
  </si>
  <si>
    <t>Communication Dashboard</t>
  </si>
  <si>
    <t>Modules</t>
  </si>
  <si>
    <t>Certificate</t>
  </si>
  <si>
    <t>Certificate Management (combined: Process + Print)</t>
  </si>
  <si>
    <t>Email Keywords</t>
  </si>
  <si>
    <t>Record Collection</t>
  </si>
  <si>
    <t>Ambassador Performance</t>
  </si>
  <si>
    <t>P2P Fundraisers</t>
  </si>
  <si>
    <t>Prayer Request</t>
  </si>
  <si>
    <t>Prayer Request Entry</t>
  </si>
  <si>
    <t>Reply Queue</t>
  </si>
  <si>
    <t>Review Reply</t>
  </si>
  <si>
    <t>General</t>
  </si>
  <si>
    <t>Bank</t>
  </si>
  <si>
    <t>Blood Group</t>
  </si>
  <si>
    <t>Currency Conversion</t>
  </si>
  <si>
    <t>Gender</t>
  </si>
  <si>
    <t>Language</t>
  </si>
  <si>
    <t>Occupation</t>
  </si>
  <si>
    <t>Payment Mode</t>
  </si>
  <si>
    <t>Relation</t>
  </si>
  <si>
    <t>Salutation</t>
  </si>
  <si>
    <t>City</t>
  </si>
  <si>
    <t>Country</t>
  </si>
  <si>
    <t>District</t>
  </si>
  <si>
    <t>Locality</t>
  </si>
  <si>
    <t>Pincode</t>
  </si>
  <si>
    <t>State</t>
  </si>
  <si>
    <t>Generate Report</t>
  </si>
  <si>
    <t>PowerBI Reports (combined: Report Master + User Mapping)</t>
  </si>
  <si>
    <t>SMS Setup</t>
  </si>
  <si>
    <t>Payment Gateways (combined: Per-Company + Gateway Master)</t>
  </si>
  <si>
    <t>Event Registration Page</t>
  </si>
  <si>
    <t>P2P Campaign Pages</t>
  </si>
  <si>
    <t>Prayer Request Page</t>
  </si>
  <si>
    <t>Volunteer Registration Page</t>
  </si>
  <si>
    <t>Crowdfunding Page</t>
  </si>
  <si>
    <t>Fundrasing</t>
  </si>
  <si>
    <t>Online Donation Inbox</t>
  </si>
  <si>
    <t>Event Ticket Template</t>
  </si>
  <si>
    <t>Program Fund Allocation</t>
  </si>
  <si>
    <t>102-118</t>
  </si>
  <si>
    <t>Mobile</t>
  </si>
  <si>
    <t>Donor App (8 screens) + Agent App (9 screens)</t>
  </si>
  <si>
    <t>—</t>
  </si>
  <si>
    <t>Upcoming (Mobile)</t>
  </si>
  <si>
    <t>N/A</t>
  </si>
  <si>
    <t>76, 162</t>
  </si>
  <si>
    <t>Master Data (combined: Master Data + Master Data Type)</t>
  </si>
  <si>
    <t>85, 165-166</t>
  </si>
  <si>
    <t>Organization Settings (combined: Org Settings + Setting Group + User Setting)</t>
  </si>
  <si>
    <t>Testing Status</t>
  </si>
  <si>
    <t>Team Members</t>
  </si>
  <si>
    <t>Completed - Needs Fix</t>
  </si>
  <si>
    <t>Ready to Build</t>
  </si>
  <si>
    <t>Sangeetha</t>
  </si>
  <si>
    <t>Failed</t>
  </si>
  <si>
    <t>Upcoming (Dashboard)</t>
  </si>
  <si>
    <t>Issues Found</t>
  </si>
  <si>
    <t>Ganesh</t>
  </si>
  <si>
    <t>Upcoming (Config)</t>
  </si>
  <si>
    <t>Blocked - Awaiting Fix</t>
  </si>
  <si>
    <t>PSS 2.0 — Screen Status Summary</t>
  </si>
  <si>
    <t>Generated 2026-04-28 · Total screens: 138 · Source: Screen Status sheet (live formulas)</t>
  </si>
  <si>
    <t>Total</t>
  </si>
  <si>
    <t>Needs Fix</t>
  </si>
  <si>
    <t>In Progress</t>
  </si>
  <si>
    <t>Dev Tested (Passed)</t>
  </si>
  <si>
    <t>QA Tested (Passed)</t>
  </si>
  <si>
    <t>① Development Status by Module</t>
  </si>
  <si>
    <t>② Testing Progress (Dev + QA)</t>
  </si>
  <si>
    <t>Dev: Not Started</t>
  </si>
  <si>
    <t>Dev: Pending</t>
  </si>
  <si>
    <t>Dev: In Testing</t>
  </si>
  <si>
    <t>Dev: Passed</t>
  </si>
  <si>
    <t>Dev: Failed</t>
  </si>
  <si>
    <t>Dev: Issues Found</t>
  </si>
  <si>
    <t>Dev: Blocked</t>
  </si>
  <si>
    <t>Dev: N/A</t>
  </si>
  <si>
    <t>QA: Not Started</t>
  </si>
  <si>
    <t>QA: Pending</t>
  </si>
  <si>
    <t>QA: In Testing</t>
  </si>
  <si>
    <t>QA: Passed</t>
  </si>
  <si>
    <t>QA: Failed</t>
  </si>
  <si>
    <t>QA: Issues Found</t>
  </si>
  <si>
    <t>QA: Blocked</t>
  </si>
  <si>
    <t>QA: N/A</t>
  </si>
  <si>
    <t>③ Priority Breakdown</t>
  </si>
  <si>
    <t>Other (Ready / Not Started / Upcoming)</t>
  </si>
  <si>
    <t>④ Team Workload (counts ONLY when work is actually done)</t>
  </si>
  <si>
    <t>Team Member</t>
  </si>
  <si>
    <t>Dev Completed</t>
  </si>
  <si>
    <t>Dev: Issues</t>
  </si>
  <si>
    <t>QA: Issues</t>
  </si>
  <si>
    <t>Total Engaged</t>
  </si>
  <si>
    <t>① Test Cases</t>
  </si>
  <si>
    <t>Case Level</t>
  </si>
  <si>
    <t>Case Title</t>
  </si>
  <si>
    <t>Case Description</t>
  </si>
  <si>
    <t>Basic</t>
  </si>
  <si>
    <t>CRUD</t>
  </si>
  <si>
    <t>Need to test crud operations (add, edit, delete, toggle)</t>
  </si>
  <si>
    <t>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</si>
</sst>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b/>
      <sz val="10"/>
      <color rgb="FF4B5563"/>
      <name val="Calibri"/>
    </font>
    <font>
      <b/>
      <sz val="10"/>
      <color rgb="FF991B1B"/>
      <name val="Calibri"/>
    </font>
    <font>
      <b/>
      <sz val="10"/>
      <color rgb="FF075985"/>
      <name val="Calibri"/>
    </font>
    <font>
      <b/>
      <sz val="18"/>
      <color rgb="FF111827"/>
      <name val="Calibri"/>
    </font>
    <font>
      <sz val="11"/>
      <color rgb="FF6B7280"/>
      <name val="Calibri"/>
    </font>
    <font>
      <b/>
      <sz val="10"/>
      <color rgb="FF6B7280"/>
      <name val="Calibri"/>
    </font>
    <font>
      <b/>
      <sz val="24"/>
      <color rgb="FF1F2937"/>
      <name val="Calibri"/>
    </font>
    <font>
      <b/>
      <sz val="24"/>
      <color rgb="FF166534"/>
      <name val="Calibri"/>
    </font>
    <font>
      <b/>
      <sz val="24"/>
      <color rgb="FF92400E"/>
      <name val="Calibri"/>
    </font>
    <font>
      <b/>
      <sz val="24"/>
      <color rgb="FF854D0E"/>
      <name val="Calibri"/>
    </font>
    <font>
      <b/>
      <sz val="24"/>
      <color rgb="FF1E40AF"/>
      <name val="Calibri"/>
    </font>
    <font>
      <b/>
      <sz val="24"/>
      <color rgb="FF4B5563"/>
      <name val="Calibri"/>
    </font>
    <font>
      <b/>
      <sz val="24"/>
      <color rgb="FF3730A3"/>
      <name val="Calibri"/>
    </font>
    <font>
      <b/>
      <sz val="24"/>
      <color rgb="FF155E75"/>
      <name val="Calibri"/>
    </font>
    <font>
      <b/>
      <sz val="24"/>
      <color rgb="FF6B21A8"/>
      <name val="Calibri"/>
    </font>
    <font>
      <b/>
      <sz val="12"/>
      <color rgb="FFFFFFFF"/>
      <name val="Calibri"/>
    </font>
    <font>
      <b/>
      <sz val="10"/>
      <color rgb="FF374151"/>
      <name val="Calibri"/>
    </font>
    <font>
      <sz val="10"/>
      <color rgb="FF111827"/>
      <name val="Calibri"/>
    </font>
    <font>
      <b/>
      <sz val="10"/>
      <color rgb="FF111827"/>
      <name val="Calibri"/>
    </font>
    <font>
      <b/>
      <sz val="11"/>
      <color rgb="FFFFFFFF"/>
      <name val="Calibri"/>
      <scheme val="minor"/>
    </font>
    <font>
      <sz val="11"/>
      <color rgb="FF000000"/>
      <name val="Calibri"/>
      <family val="2"/>
      <scheme val="minor"/>
    </font>
    <font>
      <b/>
      <sz val="10"/>
      <color rgb="FF92400E"/>
      <name val="Calibri"/>
      <scheme val="minor"/>
    </font>
    <font>
      <b/>
      <sz val="10"/>
      <color rgb="FF166534"/>
      <name val="Calibri"/>
      <scheme val="minor"/>
    </font>
    <font>
      <b/>
      <sz val="10"/>
      <color rgb="FF4B5563"/>
      <name val="Calibri"/>
      <scheme val="minor"/>
    </font>
    <font>
      <b/>
      <sz val="10"/>
      <color rgb="FF6B21A8"/>
      <name val="Calibri"/>
      <scheme val="minor"/>
    </font>
    <font>
      <b/>
      <sz val="10"/>
      <color rgb="FF991B1B"/>
      <name val="Calibri"/>
      <scheme val="minor"/>
    </font>
    <font>
      <b/>
      <sz val="10"/>
      <color rgb="FF854D0E"/>
      <name val="Calibri"/>
      <scheme val="minor"/>
    </font>
    <font>
      <b/>
      <sz val="10"/>
      <color rgb="FF075985"/>
      <name val="Calibri"/>
      <scheme val="minor"/>
    </font>
    <font>
      <b/>
      <sz val="10"/>
      <color rgb="FF3730A3"/>
      <name val="Calibri"/>
      <scheme val="minor"/>
    </font>
    <font>
      <b/>
      <sz val="10"/>
      <color rgb="FF155E75"/>
      <name val="Calibri"/>
      <scheme val="minor"/>
    </font>
    <font>
      <b/>
      <sz val="11"/>
      <color theme="4" tint="-0.249977111117893"/>
      <name val="Calibri"/>
      <family val="2"/>
      <scheme val="minor"/>
    </font>
    <font>
      <b/>
      <sz val="12"/>
      <color theme="0"/>
      <name val="Calibri"/>
      <family val="2"/>
      <scheme val="minor"/>
    </font>
  </fonts>
  <fills count="17">
    <fill>
      <patternFill patternType="none"/>
    </fill>
    <fill>
      <patternFill patternType="gray125"/>
    </fill>
    <fill>
      <patternFill patternType="solid">
        <fgColor rgb="FF1F2937"/>
      </patternFill>
    </fill>
    <fill>
      <patternFill patternType="solid">
        <fgColor rgb="FFF3F4F6"/>
      </patternFill>
    </fill>
    <fill>
      <patternFill patternType="solid">
        <fgColor rgb="FFE5E7EB"/>
      </patternFill>
    </fill>
    <fill>
      <patternFill patternType="solid">
        <fgColor rgb="FF1F2937"/>
        <bgColor rgb="FF000000"/>
      </patternFill>
    </fill>
    <fill>
      <patternFill patternType="solid">
        <fgColor rgb="FFFEF3C7"/>
        <bgColor rgb="FFFEF3C7"/>
      </patternFill>
    </fill>
    <fill>
      <patternFill patternType="solid">
        <fgColor rgb="FFDCFCE7"/>
        <bgColor rgb="FFDCFCE7"/>
      </patternFill>
    </fill>
    <fill>
      <patternFill patternType="solid">
        <fgColor rgb="FFF3F4F6"/>
        <bgColor rgb="FFF3F4F6"/>
      </patternFill>
    </fill>
    <fill>
      <patternFill patternType="solid">
        <fgColor rgb="FFEDE9FE"/>
        <bgColor rgb="FFEDE9FE"/>
      </patternFill>
    </fill>
    <fill>
      <patternFill patternType="solid">
        <fgColor rgb="FFFEE2E2"/>
        <bgColor rgb="FFFEE2E2"/>
      </patternFill>
    </fill>
    <fill>
      <patternFill patternType="solid">
        <fgColor rgb="FFFEF9C3"/>
        <bgColor rgb="FFFEF9C3"/>
      </patternFill>
    </fill>
    <fill>
      <patternFill patternType="solid">
        <fgColor rgb="FFE0F2FE"/>
        <bgColor rgb="FFE0F2FE"/>
      </patternFill>
    </fill>
    <fill>
      <patternFill patternType="solid">
        <fgColor rgb="FFE0E7FF"/>
        <bgColor rgb="FFE0E7FF"/>
      </patternFill>
    </fill>
    <fill>
      <patternFill patternType="solid">
        <fgColor rgb="FFCFFAFE"/>
        <bgColor rgb="FFCFFAFE"/>
      </patternFill>
    </fill>
    <fill>
      <patternFill patternType="solid">
        <fgColor theme="0" tint="-4.9989318521683403E-2"/>
        <bgColor indexed="64"/>
      </patternFill>
    </fill>
    <fill>
      <patternFill patternType="solid">
        <fgColor theme="1"/>
        <bgColor indexed="64"/>
      </patternFill>
    </fill>
  </fills>
  <borders count="3">
    <border>
      <left/>
      <right/>
      <top/>
      <bottom/>
      <diagonal/>
    </border>
    <border>
      <left style="thin">
        <color rgb="FFE5E7EB"/>
      </left>
      <right style="thin">
        <color rgb="FFE5E7EB"/>
      </right>
      <top style="thin">
        <color rgb="FFE5E7EB"/>
      </top>
      <bottom style="thin">
        <color rgb="FFE5E7EB"/>
      </bottom>
      <diagonal/>
    </border>
    <border>
      <left/>
      <right/>
      <top/>
      <bottom style="thin">
        <color rgb="FFE5E7EB"/>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left"/>
    </xf>
    <xf numFmtId="0" fontId="4" fillId="0" borderId="0" xfId="0" applyFont="1"/>
    <xf numFmtId="0" fontId="5" fillId="0" borderId="0" xfId="0" applyFont="1"/>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7" fillId="3" borderId="1" xfId="0" applyFont="1" applyFill="1" applyBorder="1" applyAlignment="1">
      <alignment horizontal="center" vertical="center" wrapText="1"/>
    </xf>
    <xf numFmtId="0" fontId="18" fillId="0" borderId="1" xfId="0" applyFont="1" applyBorder="1" applyAlignment="1">
      <alignment horizontal="left" vertical="center" indent="1"/>
    </xf>
    <xf numFmtId="0" fontId="18" fillId="0" borderId="1"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left" vertical="center" indent="1"/>
    </xf>
    <xf numFmtId="0" fontId="19" fillId="0" borderId="1" xfId="0" applyFont="1" applyBorder="1" applyAlignment="1">
      <alignment horizontal="left" vertical="center" indent="1"/>
    </xf>
    <xf numFmtId="0" fontId="20" fillId="5" borderId="1" xfId="0" applyFont="1" applyFill="1" applyBorder="1" applyAlignment="1">
      <alignment horizontal="left" vertical="center"/>
    </xf>
    <xf numFmtId="0" fontId="21" fillId="0" borderId="1" xfId="0" applyFont="1" applyBorder="1" applyAlignment="1">
      <alignment horizontal="left" vertical="center"/>
    </xf>
    <xf numFmtId="0" fontId="22" fillId="6" borderId="1" xfId="0" applyFont="1" applyFill="1" applyBorder="1" applyAlignment="1">
      <alignment horizontal="center" vertical="center"/>
    </xf>
    <xf numFmtId="0" fontId="23" fillId="7" borderId="1" xfId="0" applyFont="1" applyFill="1" applyBorder="1" applyAlignment="1">
      <alignment horizontal="center" vertical="center"/>
    </xf>
    <xf numFmtId="0" fontId="24" fillId="8" borderId="1" xfId="0" applyFont="1" applyFill="1" applyBorder="1" applyAlignment="1">
      <alignment horizontal="center" vertical="center"/>
    </xf>
    <xf numFmtId="0" fontId="25" fillId="9" borderId="1" xfId="0" applyFont="1" applyFill="1" applyBorder="1" applyAlignment="1">
      <alignment horizontal="center" vertical="center"/>
    </xf>
    <xf numFmtId="0" fontId="21" fillId="0" borderId="0" xfId="0" applyFont="1"/>
    <xf numFmtId="0" fontId="26" fillId="10" borderId="1" xfId="0" applyFont="1" applyFill="1" applyBorder="1" applyAlignment="1">
      <alignment horizontal="center" vertical="center"/>
    </xf>
    <xf numFmtId="0" fontId="27" fillId="11" borderId="1" xfId="0" applyFont="1" applyFill="1" applyBorder="1" applyAlignment="1">
      <alignment horizontal="center" vertical="center"/>
    </xf>
    <xf numFmtId="0" fontId="28" fillId="12" borderId="1" xfId="0" applyFont="1" applyFill="1" applyBorder="1" applyAlignment="1">
      <alignment horizontal="center" vertical="center"/>
    </xf>
    <xf numFmtId="0" fontId="29" fillId="13" borderId="1" xfId="0" applyFont="1" applyFill="1" applyBorder="1" applyAlignment="1">
      <alignment horizontal="center" vertical="center"/>
    </xf>
    <xf numFmtId="0" fontId="30" fillId="14" borderId="1" xfId="0" applyFont="1" applyFill="1" applyBorder="1" applyAlignment="1">
      <alignment horizontal="center" vertical="center"/>
    </xf>
    <xf numFmtId="0" fontId="21" fillId="0" borderId="0" xfId="0" applyFont="1" applyAlignment="1">
      <alignment horizontal="left"/>
    </xf>
    <xf numFmtId="0" fontId="21" fillId="0" borderId="0" xfId="0" applyFont="1" applyAlignment="1">
      <alignment horizontal="center" vertical="center"/>
    </xf>
    <xf numFmtId="0" fontId="0" fillId="0" borderId="0" xfId="0" applyAlignment="1">
      <alignment horizontal="center"/>
    </xf>
    <xf numFmtId="0" fontId="31" fillId="15" borderId="0" xfId="0" applyFont="1" applyFill="1"/>
    <xf numFmtId="0" fontId="21" fillId="0" borderId="1" xfId="0" applyFont="1" applyBorder="1" applyAlignment="1">
      <alignment horizontal="left"/>
    </xf>
    <xf numFmtId="0" fontId="21" fillId="0" borderId="0" xfId="0" applyFont="1" applyAlignment="1">
      <alignment horizontal="left" vertical="center"/>
    </xf>
    <xf numFmtId="0" fontId="21" fillId="0" borderId="1" xfId="0" applyFont="1" applyBorder="1"/>
    <xf numFmtId="0" fontId="21" fillId="0" borderId="1" xfId="0" applyFont="1" applyBorder="1" applyAlignment="1">
      <alignment horizontal="center" vertical="center"/>
    </xf>
    <xf numFmtId="0" fontId="16" fillId="2" borderId="2" xfId="0" applyFont="1" applyFill="1" applyBorder="1" applyAlignment="1">
      <alignment horizontal="left" vertical="center" indent="1"/>
    </xf>
    <xf numFmtId="0" fontId="32" fillId="16" borderId="0" xfId="0" applyFont="1" applyFill="1" applyAlignment="1">
      <alignment horizontal="left" vertical="center"/>
    </xf>
  </cellXfs>
  <cellStyles count="1">
    <cellStyle name="Normal" xfId="0" builtinId="0"/>
  </cellStyles>
  <dxfs count="20">
    <dxf>
      <font>
        <color rgb="FF3730A3"/>
      </font>
      <fill>
        <patternFill patternType="solid">
          <fgColor rgb="FFE0E7FF"/>
          <bgColor rgb="FFE0E7FF"/>
        </patternFill>
      </fill>
    </dxf>
    <dxf>
      <font>
        <color rgb="FF991B1B"/>
      </font>
      <fill>
        <patternFill patternType="solid">
          <fgColor rgb="FFFEE2E2"/>
          <bgColor rgb="FFFEE2E2"/>
        </patternFill>
      </fill>
    </dxf>
    <dxf>
      <font>
        <color rgb="FF92400E"/>
      </font>
      <fill>
        <patternFill patternType="solid">
          <fgColor rgb="FFFEF3C7"/>
          <bgColor rgb="FFFEF3C7"/>
        </patternFill>
      </fill>
    </dxf>
    <dxf>
      <font>
        <color rgb="FF991B1B"/>
      </font>
      <fill>
        <patternFill patternType="solid">
          <fgColor rgb="FFFEE2E2"/>
          <bgColor rgb="FFFEE2E2"/>
        </patternFill>
      </fill>
    </dxf>
    <dxf>
      <font>
        <color rgb="FF166534"/>
      </font>
      <fill>
        <patternFill patternType="solid">
          <fgColor rgb="FFDCFCE7"/>
          <bgColor rgb="FFDCFCE7"/>
        </patternFill>
      </fill>
    </dxf>
    <dxf>
      <font>
        <color rgb="FF155E75"/>
      </font>
      <fill>
        <patternFill patternType="solid">
          <fgColor rgb="FFCFFAFE"/>
          <bgColor rgb="FFCFFAFE"/>
        </patternFill>
      </fill>
    </dxf>
    <dxf>
      <font>
        <color rgb="FF6B21A8"/>
      </font>
      <fill>
        <patternFill patternType="solid">
          <fgColor rgb="FFEDE9FE"/>
          <bgColor rgb="FFEDE9FE"/>
        </patternFill>
      </fill>
    </dxf>
    <dxf>
      <font>
        <color rgb="FF4B5563"/>
      </font>
      <fill>
        <patternFill patternType="solid">
          <fgColor rgb="FFF3F4F6"/>
          <bgColor rgb="FFF3F4F6"/>
        </patternFill>
      </fill>
    </dxf>
    <dxf>
      <font>
        <color rgb="FF3730A3"/>
      </font>
      <fill>
        <patternFill patternType="solid">
          <fgColor rgb="FFE0E7FF"/>
          <bgColor rgb="FFE0E7FF"/>
        </patternFill>
      </fill>
    </dxf>
    <dxf>
      <font>
        <color rgb="FF3730A3"/>
      </font>
      <fill>
        <patternFill patternType="solid">
          <fgColor rgb="FFE0E7FF"/>
          <bgColor rgb="FFE0E7FF"/>
        </patternFill>
      </fill>
    </dxf>
    <dxf>
      <font>
        <color rgb="FF3730A3"/>
      </font>
      <fill>
        <patternFill patternType="solid">
          <fgColor rgb="FFE0E7FF"/>
          <bgColor rgb="FFE0E7FF"/>
        </patternFill>
      </fill>
    </dxf>
    <dxf>
      <font>
        <color rgb="FF3730A3"/>
      </font>
      <fill>
        <patternFill patternType="solid">
          <fgColor rgb="FFE0E7FF"/>
          <bgColor rgb="FFE0E7FF"/>
        </patternFill>
      </fill>
    </dxf>
    <dxf>
      <font>
        <color rgb="FF4B5563"/>
      </font>
      <fill>
        <patternFill patternType="solid">
          <fgColor rgb="FFF3F4F6"/>
          <bgColor rgb="FFF3F4F6"/>
        </patternFill>
      </fill>
    </dxf>
    <dxf>
      <font>
        <color rgb="FF854D0E"/>
      </font>
      <fill>
        <patternFill patternType="solid">
          <fgColor rgb="FFFEF9C3"/>
          <bgColor rgb="FFFEF9C3"/>
        </patternFill>
      </fill>
    </dxf>
    <dxf>
      <font>
        <color rgb="FF1E40AF"/>
      </font>
      <fill>
        <patternFill patternType="solid">
          <fgColor rgb="FFDBEAFE"/>
          <bgColor rgb="FFDBEAFE"/>
        </patternFill>
      </fill>
    </dxf>
    <dxf>
      <font>
        <color rgb="FF92400E"/>
      </font>
      <fill>
        <patternFill patternType="solid">
          <fgColor rgb="FFFEF3C7"/>
          <bgColor rgb="FFFEF3C7"/>
        </patternFill>
      </fill>
    </dxf>
    <dxf>
      <font>
        <color rgb="FF166534"/>
      </font>
      <fill>
        <patternFill patternType="solid">
          <fgColor rgb="FFDCFCE7"/>
          <bgColor rgb="FFDCFCE7"/>
        </patternFill>
      </fill>
    </dxf>
    <dxf>
      <font>
        <color rgb="FF075985"/>
      </font>
      <fill>
        <patternFill patternType="solid">
          <fgColor rgb="FFE0F2FE"/>
          <bgColor rgb="FFE0F2FE"/>
        </patternFill>
      </fill>
    </dxf>
    <dxf>
      <font>
        <color rgb="FF92400E"/>
      </font>
      <fill>
        <patternFill patternType="solid">
          <fgColor rgb="FFFEF3C7"/>
          <bgColor rgb="FFFEF3C7"/>
        </patternFill>
      </fill>
    </dxf>
    <dxf>
      <font>
        <color rgb="FF991B1B"/>
      </font>
      <fill>
        <patternFill patternType="solid">
          <fgColor rgb="FFFEE2E2"/>
          <bgColor rgb="FFFEE2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 Id="rId10"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4"/>
  <sheetViews>
    <sheetView workbookViewId="0">
      <pane ySplit="1" topLeftCell="A2" activePane="bottomLeft" state="frozen"/>
      <selection pane="bottomLeft" activeCell="K108" sqref="K108"/>
    </sheetView>
  </sheetViews>
  <sheetFormatPr defaultRowHeight="15" customHeight="1"/>
  <cols>
    <col min="1" max="1" width="13.5703125" customWidth="1"/>
    <col min="2" max="2" width="18" customWidth="1"/>
    <col min="3" max="3" width="59.42578125" customWidth="1"/>
    <col min="4" max="4" width="16" customWidth="1"/>
    <col min="5" max="6" width="14" customWidth="1"/>
    <col min="7" max="7" width="26" customWidth="1"/>
    <col min="8" max="8" width="22" customWidth="1"/>
    <col min="9" max="9" width="16" customWidth="1"/>
    <col min="10" max="10" width="20.42578125" customWidth="1"/>
    <col min="11" max="11" width="16.85546875" customWidth="1"/>
    <col min="12" max="12" width="16.28515625" customWidth="1"/>
    <col min="13" max="13" width="17.28515625" customWidth="1"/>
    <col min="14" max="14" width="12" customWidth="1"/>
  </cols>
  <sheetData>
    <row r="1" spans="1:14">
      <c r="A1" s="23" t="s">
        <v>0</v>
      </c>
      <c r="B1" s="23" t="s">
        <v>1</v>
      </c>
      <c r="C1" s="23" t="s">
        <v>2</v>
      </c>
      <c r="D1" s="23" t="s">
        <v>3</v>
      </c>
      <c r="E1" s="23" t="s">
        <v>4</v>
      </c>
      <c r="F1" s="23" t="s">
        <v>5</v>
      </c>
      <c r="G1" s="23" t="s">
        <v>6</v>
      </c>
      <c r="H1" s="23" t="s">
        <v>7</v>
      </c>
      <c r="I1" s="23" t="s">
        <v>8</v>
      </c>
      <c r="J1" s="23" t="s">
        <v>9</v>
      </c>
      <c r="K1" s="23" t="s">
        <v>10</v>
      </c>
      <c r="L1" s="23" t="s">
        <v>11</v>
      </c>
      <c r="M1" s="23" t="s">
        <v>12</v>
      </c>
      <c r="N1" s="23" t="s">
        <v>13</v>
      </c>
    </row>
    <row r="2" spans="1:14">
      <c r="A2" s="24">
        <v>1</v>
      </c>
      <c r="B2" s="24" t="s">
        <v>14</v>
      </c>
      <c r="C2" s="24" t="s">
        <v>15</v>
      </c>
      <c r="D2" s="24" t="s">
        <v>16</v>
      </c>
      <c r="E2" s="25" t="s">
        <v>17</v>
      </c>
      <c r="F2" s="36">
        <v>1</v>
      </c>
      <c r="G2" s="26" t="s">
        <v>18</v>
      </c>
      <c r="H2" s="24" t="s">
        <v>19</v>
      </c>
      <c r="I2" s="36">
        <v>1.5</v>
      </c>
      <c r="J2" s="26" t="s">
        <v>20</v>
      </c>
      <c r="K2" s="24" t="s">
        <v>19</v>
      </c>
      <c r="L2" s="36">
        <v>1.5</v>
      </c>
      <c r="M2" s="27" t="s">
        <v>21</v>
      </c>
      <c r="N2" s="24"/>
    </row>
    <row r="3" spans="1:14">
      <c r="A3" s="24">
        <v>2</v>
      </c>
      <c r="B3" s="24" t="s">
        <v>14</v>
      </c>
      <c r="C3" s="24" t="s">
        <v>22</v>
      </c>
      <c r="D3" s="24" t="s">
        <v>23</v>
      </c>
      <c r="E3" s="25" t="s">
        <v>17</v>
      </c>
      <c r="F3" s="36">
        <v>0.5</v>
      </c>
      <c r="G3" s="26" t="s">
        <v>18</v>
      </c>
      <c r="H3" s="24" t="s">
        <v>19</v>
      </c>
      <c r="I3" s="36">
        <v>0.75</v>
      </c>
      <c r="J3" s="26" t="s">
        <v>20</v>
      </c>
      <c r="K3" s="24" t="s">
        <v>24</v>
      </c>
      <c r="L3" s="36">
        <v>0.75</v>
      </c>
      <c r="M3" s="27" t="s">
        <v>21</v>
      </c>
      <c r="N3" s="24"/>
    </row>
    <row r="4" spans="1:14">
      <c r="A4" s="24">
        <v>3</v>
      </c>
      <c r="B4" s="24" t="s">
        <v>14</v>
      </c>
      <c r="C4" s="24" t="s">
        <v>25</v>
      </c>
      <c r="D4" s="24" t="s">
        <v>23</v>
      </c>
      <c r="E4" s="25" t="s">
        <v>17</v>
      </c>
      <c r="F4" s="36">
        <v>0.5</v>
      </c>
      <c r="G4" s="26" t="s">
        <v>18</v>
      </c>
      <c r="H4" s="24" t="s">
        <v>19</v>
      </c>
      <c r="I4" s="36">
        <v>0.75</v>
      </c>
      <c r="J4" s="26" t="s">
        <v>20</v>
      </c>
      <c r="K4" s="24" t="s">
        <v>24</v>
      </c>
      <c r="L4" s="36">
        <v>0.75</v>
      </c>
      <c r="M4" s="27" t="s">
        <v>21</v>
      </c>
      <c r="N4" s="24"/>
    </row>
    <row r="5" spans="1:14">
      <c r="A5" s="24">
        <v>4</v>
      </c>
      <c r="B5" s="24" t="s">
        <v>14</v>
      </c>
      <c r="C5" s="24" t="s">
        <v>26</v>
      </c>
      <c r="D5" s="24" t="s">
        <v>23</v>
      </c>
      <c r="E5" s="25" t="s">
        <v>17</v>
      </c>
      <c r="F5" s="36">
        <v>0.5</v>
      </c>
      <c r="G5" s="26" t="s">
        <v>18</v>
      </c>
      <c r="H5" s="24" t="s">
        <v>19</v>
      </c>
      <c r="I5" s="36">
        <v>0.75</v>
      </c>
      <c r="J5" s="26" t="s">
        <v>20</v>
      </c>
      <c r="K5" s="24" t="s">
        <v>24</v>
      </c>
      <c r="L5" s="36">
        <v>0.75</v>
      </c>
      <c r="M5" s="27" t="s">
        <v>21</v>
      </c>
      <c r="N5" s="24"/>
    </row>
    <row r="6" spans="1:14">
      <c r="A6" s="24">
        <v>5</v>
      </c>
      <c r="B6" s="24" t="s">
        <v>14</v>
      </c>
      <c r="C6" s="24" t="s">
        <v>27</v>
      </c>
      <c r="D6" s="24" t="s">
        <v>16</v>
      </c>
      <c r="E6" s="25" t="s">
        <v>17</v>
      </c>
      <c r="F6" s="36">
        <v>0.75</v>
      </c>
      <c r="G6" s="26" t="s">
        <v>18</v>
      </c>
      <c r="H6" s="24" t="s">
        <v>19</v>
      </c>
      <c r="I6" s="36">
        <v>1</v>
      </c>
      <c r="J6" s="27" t="s">
        <v>21</v>
      </c>
      <c r="K6" s="24"/>
      <c r="L6" s="36">
        <v>1</v>
      </c>
      <c r="M6" s="27" t="s">
        <v>21</v>
      </c>
      <c r="N6" s="24"/>
    </row>
    <row r="7" spans="1:14">
      <c r="A7" s="24">
        <v>6</v>
      </c>
      <c r="B7" s="24" t="s">
        <v>14</v>
      </c>
      <c r="C7" s="24" t="s">
        <v>28</v>
      </c>
      <c r="D7" s="24" t="s">
        <v>16</v>
      </c>
      <c r="E7" s="25" t="s">
        <v>17</v>
      </c>
      <c r="F7" s="36">
        <v>1</v>
      </c>
      <c r="G7" s="26" t="s">
        <v>18</v>
      </c>
      <c r="H7" s="24" t="s">
        <v>19</v>
      </c>
      <c r="I7" s="36">
        <v>1.5</v>
      </c>
      <c r="J7" s="26" t="s">
        <v>20</v>
      </c>
      <c r="K7" s="24" t="s">
        <v>19</v>
      </c>
      <c r="L7" s="36">
        <v>1.5</v>
      </c>
      <c r="M7" s="27" t="s">
        <v>21</v>
      </c>
      <c r="N7" s="24"/>
    </row>
    <row r="8" spans="1:14">
      <c r="A8" s="24">
        <v>7</v>
      </c>
      <c r="B8" s="24" t="s">
        <v>14</v>
      </c>
      <c r="C8" s="24" t="s">
        <v>29</v>
      </c>
      <c r="D8" s="24" t="s">
        <v>16</v>
      </c>
      <c r="E8" s="25" t="s">
        <v>17</v>
      </c>
      <c r="F8" s="36">
        <v>1</v>
      </c>
      <c r="G8" s="26" t="s">
        <v>18</v>
      </c>
      <c r="H8" s="24" t="s">
        <v>19</v>
      </c>
      <c r="I8" s="36">
        <v>1.5</v>
      </c>
      <c r="J8" s="26" t="s">
        <v>20</v>
      </c>
      <c r="K8" s="24" t="s">
        <v>24</v>
      </c>
      <c r="L8" s="36">
        <v>1.5</v>
      </c>
      <c r="M8" s="27" t="s">
        <v>21</v>
      </c>
      <c r="N8" s="24"/>
    </row>
    <row r="9" spans="1:14">
      <c r="A9" s="24">
        <v>8</v>
      </c>
      <c r="B9" s="24" t="s">
        <v>14</v>
      </c>
      <c r="C9" s="24" t="s">
        <v>30</v>
      </c>
      <c r="D9" s="24" t="s">
        <v>16</v>
      </c>
      <c r="E9" s="25" t="s">
        <v>17</v>
      </c>
      <c r="F9" s="36">
        <v>1</v>
      </c>
      <c r="G9" s="26" t="s">
        <v>18</v>
      </c>
      <c r="H9" s="24" t="s">
        <v>19</v>
      </c>
      <c r="I9" s="36">
        <v>1.5</v>
      </c>
      <c r="J9" s="28" t="s">
        <v>20</v>
      </c>
      <c r="K9" s="24" t="s">
        <v>19</v>
      </c>
      <c r="L9" s="36">
        <v>1.5</v>
      </c>
      <c r="M9" s="27" t="s">
        <v>21</v>
      </c>
      <c r="N9" s="24"/>
    </row>
    <row r="10" spans="1:14">
      <c r="A10" s="24">
        <v>9</v>
      </c>
      <c r="B10" s="24" t="s">
        <v>14</v>
      </c>
      <c r="C10" s="24" t="s">
        <v>31</v>
      </c>
      <c r="D10" s="24" t="s">
        <v>16</v>
      </c>
      <c r="E10" s="25" t="s">
        <v>17</v>
      </c>
      <c r="F10" s="36">
        <v>0.75</v>
      </c>
      <c r="G10" s="27" t="s">
        <v>18</v>
      </c>
      <c r="H10" s="24" t="s">
        <v>19</v>
      </c>
      <c r="I10" s="36">
        <v>1</v>
      </c>
      <c r="J10" s="27" t="s">
        <v>21</v>
      </c>
      <c r="K10" s="24"/>
      <c r="L10" s="36">
        <v>1</v>
      </c>
      <c r="M10" s="27" t="s">
        <v>21</v>
      </c>
      <c r="N10" s="24"/>
    </row>
    <row r="11" spans="1:14">
      <c r="A11" s="24">
        <v>10</v>
      </c>
      <c r="B11" s="24" t="s">
        <v>14</v>
      </c>
      <c r="C11" s="24" t="s">
        <v>32</v>
      </c>
      <c r="D11" s="24" t="s">
        <v>16</v>
      </c>
      <c r="E11" s="25" t="s">
        <v>17</v>
      </c>
      <c r="F11" s="36">
        <v>1</v>
      </c>
      <c r="G11" s="26" t="s">
        <v>18</v>
      </c>
      <c r="H11" s="24" t="s">
        <v>19</v>
      </c>
      <c r="I11" s="36">
        <v>1.5</v>
      </c>
      <c r="J11" s="27" t="s">
        <v>20</v>
      </c>
      <c r="K11" s="24" t="s">
        <v>19</v>
      </c>
      <c r="L11" s="36">
        <v>1.5</v>
      </c>
      <c r="M11" s="27" t="s">
        <v>21</v>
      </c>
      <c r="N11" s="24"/>
    </row>
    <row r="12" spans="1:14">
      <c r="A12" s="24">
        <v>11</v>
      </c>
      <c r="B12" s="24" t="s">
        <v>14</v>
      </c>
      <c r="C12" s="24" t="s">
        <v>33</v>
      </c>
      <c r="D12" s="24" t="s">
        <v>16</v>
      </c>
      <c r="E12" s="30" t="s">
        <v>34</v>
      </c>
      <c r="F12" s="36">
        <v>1</v>
      </c>
      <c r="G12" s="26" t="s">
        <v>18</v>
      </c>
      <c r="H12" s="24" t="s">
        <v>19</v>
      </c>
      <c r="I12" s="36">
        <v>1.5</v>
      </c>
      <c r="J12" s="28" t="s">
        <v>35</v>
      </c>
      <c r="K12" s="24" t="s">
        <v>19</v>
      </c>
      <c r="L12" s="36">
        <v>1.5</v>
      </c>
      <c r="M12" s="27" t="s">
        <v>21</v>
      </c>
      <c r="N12" s="24"/>
    </row>
    <row r="13" spans="1:14">
      <c r="A13" s="24">
        <v>12</v>
      </c>
      <c r="B13" s="24" t="s">
        <v>14</v>
      </c>
      <c r="C13" s="24" t="s">
        <v>36</v>
      </c>
      <c r="D13" s="24" t="s">
        <v>16</v>
      </c>
      <c r="E13" s="30" t="s">
        <v>34</v>
      </c>
      <c r="F13" s="36">
        <v>1</v>
      </c>
      <c r="G13" s="26" t="s">
        <v>18</v>
      </c>
      <c r="H13" s="24" t="s">
        <v>19</v>
      </c>
      <c r="I13" s="36">
        <v>1.5</v>
      </c>
      <c r="J13" s="28" t="s">
        <v>35</v>
      </c>
      <c r="K13" s="24" t="s">
        <v>37</v>
      </c>
      <c r="L13" s="36">
        <v>1.5</v>
      </c>
      <c r="M13" s="27" t="s">
        <v>21</v>
      </c>
      <c r="N13" s="24"/>
    </row>
    <row r="14" spans="1:14">
      <c r="A14" s="24">
        <v>13</v>
      </c>
      <c r="B14" s="24" t="s">
        <v>14</v>
      </c>
      <c r="C14" s="24" t="s">
        <v>38</v>
      </c>
      <c r="D14" s="24" t="s">
        <v>16</v>
      </c>
      <c r="E14" s="25" t="s">
        <v>17</v>
      </c>
      <c r="F14" s="36">
        <v>1</v>
      </c>
      <c r="G14" s="26" t="s">
        <v>18</v>
      </c>
      <c r="H14" s="24" t="s">
        <v>19</v>
      </c>
      <c r="I14" s="36">
        <v>1.5</v>
      </c>
      <c r="J14" s="28" t="s">
        <v>35</v>
      </c>
      <c r="K14" s="24" t="s">
        <v>19</v>
      </c>
      <c r="L14" s="36">
        <v>1.5</v>
      </c>
      <c r="M14" s="27" t="s">
        <v>21</v>
      </c>
      <c r="N14" s="24"/>
    </row>
    <row r="15" spans="1:14">
      <c r="A15" s="24">
        <v>14</v>
      </c>
      <c r="B15" s="24" t="s">
        <v>14</v>
      </c>
      <c r="C15" s="24" t="s">
        <v>39</v>
      </c>
      <c r="D15" s="24" t="s">
        <v>16</v>
      </c>
      <c r="E15" s="25" t="s">
        <v>17</v>
      </c>
      <c r="F15" s="36">
        <v>1</v>
      </c>
      <c r="G15" s="26" t="s">
        <v>18</v>
      </c>
      <c r="H15" s="24" t="s">
        <v>19</v>
      </c>
      <c r="I15" s="36">
        <v>1.5</v>
      </c>
      <c r="J15" s="26" t="s">
        <v>20</v>
      </c>
      <c r="K15" s="24" t="s">
        <v>19</v>
      </c>
      <c r="L15" s="36">
        <v>1.5</v>
      </c>
      <c r="M15" s="27" t="s">
        <v>21</v>
      </c>
      <c r="N15" s="24"/>
    </row>
    <row r="16" spans="1:14">
      <c r="A16" s="24">
        <v>15</v>
      </c>
      <c r="B16" s="24" t="s">
        <v>14</v>
      </c>
      <c r="C16" s="24" t="s">
        <v>40</v>
      </c>
      <c r="D16" s="24" t="s">
        <v>16</v>
      </c>
      <c r="E16" s="25" t="s">
        <v>17</v>
      </c>
      <c r="F16" s="36">
        <v>1</v>
      </c>
      <c r="G16" s="26" t="s">
        <v>18</v>
      </c>
      <c r="H16" s="24" t="s">
        <v>19</v>
      </c>
      <c r="I16" s="36">
        <v>1.5</v>
      </c>
      <c r="J16" s="27" t="s">
        <v>41</v>
      </c>
      <c r="K16" s="24" t="s">
        <v>19</v>
      </c>
      <c r="L16" s="36">
        <v>1.5</v>
      </c>
      <c r="M16" s="27" t="s">
        <v>21</v>
      </c>
      <c r="N16" s="24"/>
    </row>
    <row r="17" spans="1:14">
      <c r="A17" s="24">
        <v>16</v>
      </c>
      <c r="B17" s="24" t="s">
        <v>14</v>
      </c>
      <c r="C17" s="24" t="s">
        <v>42</v>
      </c>
      <c r="D17" s="24" t="s">
        <v>16</v>
      </c>
      <c r="E17" s="25" t="s">
        <v>17</v>
      </c>
      <c r="F17" s="36">
        <v>1</v>
      </c>
      <c r="G17" s="26" t="s">
        <v>18</v>
      </c>
      <c r="H17" s="24" t="s">
        <v>19</v>
      </c>
      <c r="I17" s="36">
        <v>1.5</v>
      </c>
      <c r="J17" s="27" t="s">
        <v>20</v>
      </c>
      <c r="K17" s="24" t="s">
        <v>19</v>
      </c>
      <c r="L17" s="36">
        <v>1.5</v>
      </c>
      <c r="M17" s="27" t="s">
        <v>21</v>
      </c>
      <c r="N17" s="24"/>
    </row>
    <row r="18" spans="1:14">
      <c r="A18" s="24">
        <v>18</v>
      </c>
      <c r="B18" s="24" t="s">
        <v>43</v>
      </c>
      <c r="C18" s="24" t="s">
        <v>44</v>
      </c>
      <c r="D18" s="24" t="s">
        <v>16</v>
      </c>
      <c r="E18" s="25" t="s">
        <v>17</v>
      </c>
      <c r="F18" s="36">
        <v>1</v>
      </c>
      <c r="G18" s="26" t="s">
        <v>18</v>
      </c>
      <c r="H18" s="24" t="s">
        <v>19</v>
      </c>
      <c r="I18" s="36">
        <v>1.5</v>
      </c>
      <c r="J18" s="26" t="s">
        <v>20</v>
      </c>
      <c r="K18" s="24" t="s">
        <v>37</v>
      </c>
      <c r="L18" s="36">
        <v>1.5</v>
      </c>
      <c r="M18" s="27" t="s">
        <v>21</v>
      </c>
      <c r="N18" s="24"/>
    </row>
    <row r="19" spans="1:14">
      <c r="A19" s="24">
        <v>19</v>
      </c>
      <c r="B19" s="24" t="s">
        <v>43</v>
      </c>
      <c r="C19" s="24" t="s">
        <v>45</v>
      </c>
      <c r="D19" s="24" t="s">
        <v>23</v>
      </c>
      <c r="E19" s="25" t="s">
        <v>17</v>
      </c>
      <c r="F19" s="36">
        <v>0.5</v>
      </c>
      <c r="G19" s="26" t="s">
        <v>18</v>
      </c>
      <c r="H19" s="24" t="s">
        <v>19</v>
      </c>
      <c r="I19" s="36">
        <v>0.75</v>
      </c>
      <c r="J19" s="26" t="s">
        <v>20</v>
      </c>
      <c r="K19" s="24" t="s">
        <v>24</v>
      </c>
      <c r="L19" s="36">
        <v>0.75</v>
      </c>
      <c r="M19" s="27" t="s">
        <v>21</v>
      </c>
      <c r="N19" s="24"/>
    </row>
    <row r="20" spans="1:14">
      <c r="A20" s="24">
        <v>20</v>
      </c>
      <c r="B20" s="24" t="s">
        <v>43</v>
      </c>
      <c r="C20" s="24" t="s">
        <v>46</v>
      </c>
      <c r="D20" s="24" t="s">
        <v>16</v>
      </c>
      <c r="E20" s="25" t="s">
        <v>17</v>
      </c>
      <c r="F20" s="36">
        <v>1</v>
      </c>
      <c r="G20" s="26" t="s">
        <v>18</v>
      </c>
      <c r="H20" s="24" t="s">
        <v>19</v>
      </c>
      <c r="I20" s="36">
        <v>1.5</v>
      </c>
      <c r="J20" s="26" t="s">
        <v>20</v>
      </c>
      <c r="K20" s="24" t="s">
        <v>24</v>
      </c>
      <c r="L20" s="36">
        <v>1.5</v>
      </c>
      <c r="M20" s="27" t="s">
        <v>21</v>
      </c>
      <c r="N20" s="24"/>
    </row>
    <row r="21" spans="1:14">
      <c r="A21" s="24">
        <v>21</v>
      </c>
      <c r="B21" s="24" t="s">
        <v>43</v>
      </c>
      <c r="C21" s="24" t="s">
        <v>47</v>
      </c>
      <c r="D21" s="24" t="s">
        <v>16</v>
      </c>
      <c r="E21" s="25" t="s">
        <v>17</v>
      </c>
      <c r="F21" s="36">
        <v>1</v>
      </c>
      <c r="G21" s="26" t="s">
        <v>18</v>
      </c>
      <c r="H21" s="24" t="s">
        <v>19</v>
      </c>
      <c r="I21" s="36">
        <v>1.5</v>
      </c>
      <c r="J21" s="28" t="s">
        <v>35</v>
      </c>
      <c r="K21" s="24" t="s">
        <v>19</v>
      </c>
      <c r="L21" s="36">
        <v>1.5</v>
      </c>
      <c r="M21" s="27" t="s">
        <v>21</v>
      </c>
      <c r="N21" s="24"/>
    </row>
    <row r="22" spans="1:14">
      <c r="A22" s="24">
        <v>22</v>
      </c>
      <c r="B22" s="24" t="s">
        <v>43</v>
      </c>
      <c r="C22" s="24" t="s">
        <v>48</v>
      </c>
      <c r="D22" s="24" t="s">
        <v>23</v>
      </c>
      <c r="E22" s="30" t="s">
        <v>34</v>
      </c>
      <c r="F22" s="36">
        <v>0.75</v>
      </c>
      <c r="G22" s="26" t="s">
        <v>18</v>
      </c>
      <c r="H22" s="24" t="s">
        <v>19</v>
      </c>
      <c r="I22" s="36">
        <v>1</v>
      </c>
      <c r="J22" s="26" t="s">
        <v>20</v>
      </c>
      <c r="K22" s="24" t="s">
        <v>24</v>
      </c>
      <c r="L22" s="36">
        <v>1</v>
      </c>
      <c r="M22" s="27" t="s">
        <v>21</v>
      </c>
      <c r="N22" s="24"/>
    </row>
    <row r="23" spans="1:14">
      <c r="A23" s="24">
        <v>23</v>
      </c>
      <c r="B23" s="24" t="s">
        <v>43</v>
      </c>
      <c r="C23" s="24" t="s">
        <v>49</v>
      </c>
      <c r="D23" s="24" t="s">
        <v>16</v>
      </c>
      <c r="E23" s="25" t="s">
        <v>17</v>
      </c>
      <c r="F23" s="36">
        <v>0.75</v>
      </c>
      <c r="G23" s="26" t="s">
        <v>18</v>
      </c>
      <c r="H23" s="24" t="s">
        <v>37</v>
      </c>
      <c r="I23" s="36">
        <v>1</v>
      </c>
      <c r="J23" s="26" t="s">
        <v>20</v>
      </c>
      <c r="K23" s="24" t="s">
        <v>37</v>
      </c>
      <c r="L23" s="36">
        <v>1</v>
      </c>
      <c r="M23" s="27" t="s">
        <v>21</v>
      </c>
      <c r="N23" s="24"/>
    </row>
    <row r="24" spans="1:14">
      <c r="A24" s="24">
        <v>24</v>
      </c>
      <c r="B24" s="24" t="s">
        <v>50</v>
      </c>
      <c r="C24" s="24" t="s">
        <v>51</v>
      </c>
      <c r="D24" s="24" t="s">
        <v>16</v>
      </c>
      <c r="E24" s="25" t="s">
        <v>17</v>
      </c>
      <c r="F24" s="36">
        <v>0.75</v>
      </c>
      <c r="G24" s="26" t="s">
        <v>18</v>
      </c>
      <c r="H24" s="24" t="s">
        <v>19</v>
      </c>
      <c r="I24" s="36">
        <v>1</v>
      </c>
      <c r="J24" s="26" t="s">
        <v>20</v>
      </c>
      <c r="K24" s="24" t="s">
        <v>24</v>
      </c>
      <c r="L24" s="36">
        <v>1</v>
      </c>
      <c r="M24" s="27" t="s">
        <v>21</v>
      </c>
      <c r="N24" s="24"/>
    </row>
    <row r="25" spans="1:14">
      <c r="A25" s="24">
        <v>25</v>
      </c>
      <c r="B25" s="24" t="s">
        <v>50</v>
      </c>
      <c r="C25" s="24" t="s">
        <v>52</v>
      </c>
      <c r="D25" s="24" t="s">
        <v>16</v>
      </c>
      <c r="E25" s="25" t="s">
        <v>17</v>
      </c>
      <c r="F25" s="36">
        <v>1</v>
      </c>
      <c r="G25" s="26" t="s">
        <v>18</v>
      </c>
      <c r="H25" s="24" t="s">
        <v>24</v>
      </c>
      <c r="I25" s="36">
        <v>1.5</v>
      </c>
      <c r="J25" s="27" t="s">
        <v>21</v>
      </c>
      <c r="K25" s="24"/>
      <c r="L25" s="36">
        <v>1.5</v>
      </c>
      <c r="M25" s="27" t="s">
        <v>21</v>
      </c>
      <c r="N25" s="24"/>
    </row>
    <row r="26" spans="1:14">
      <c r="A26" s="24">
        <v>26</v>
      </c>
      <c r="B26" s="24" t="s">
        <v>50</v>
      </c>
      <c r="C26" s="24" t="s">
        <v>53</v>
      </c>
      <c r="D26" s="24" t="s">
        <v>23</v>
      </c>
      <c r="E26" s="25" t="s">
        <v>17</v>
      </c>
      <c r="F26" s="36">
        <v>0.5</v>
      </c>
      <c r="G26" s="26" t="s">
        <v>18</v>
      </c>
      <c r="H26" s="24" t="s">
        <v>19</v>
      </c>
      <c r="I26" s="36">
        <v>0.75</v>
      </c>
      <c r="J26" s="26" t="s">
        <v>20</v>
      </c>
      <c r="K26" s="24" t="s">
        <v>24</v>
      </c>
      <c r="L26" s="36">
        <v>0.75</v>
      </c>
      <c r="M26" s="27" t="s">
        <v>21</v>
      </c>
      <c r="N26" s="24"/>
    </row>
    <row r="27" spans="1:14">
      <c r="A27" s="24">
        <v>27</v>
      </c>
      <c r="B27" s="24" t="s">
        <v>50</v>
      </c>
      <c r="C27" s="24" t="s">
        <v>54</v>
      </c>
      <c r="D27" s="24" t="s">
        <v>16</v>
      </c>
      <c r="E27" s="25" t="s">
        <v>17</v>
      </c>
      <c r="F27" s="36">
        <v>0.75</v>
      </c>
      <c r="G27" s="26" t="s">
        <v>18</v>
      </c>
      <c r="H27" s="24" t="s">
        <v>19</v>
      </c>
      <c r="I27" s="36">
        <v>1</v>
      </c>
      <c r="J27" s="26" t="s">
        <v>20</v>
      </c>
      <c r="K27" s="24" t="s">
        <v>24</v>
      </c>
      <c r="L27" s="36">
        <v>1</v>
      </c>
      <c r="M27" s="27" t="s">
        <v>21</v>
      </c>
      <c r="N27" s="24"/>
    </row>
    <row r="28" spans="1:14">
      <c r="A28" s="24">
        <v>28</v>
      </c>
      <c r="B28" s="24" t="s">
        <v>50</v>
      </c>
      <c r="C28" s="24" t="s">
        <v>55</v>
      </c>
      <c r="D28" s="24" t="s">
        <v>16</v>
      </c>
      <c r="E28" s="25" t="s">
        <v>17</v>
      </c>
      <c r="F28" s="36">
        <v>0.75</v>
      </c>
      <c r="G28" s="26" t="s">
        <v>18</v>
      </c>
      <c r="H28" s="24" t="s">
        <v>19</v>
      </c>
      <c r="I28" s="36">
        <v>1</v>
      </c>
      <c r="J28" s="28" t="s">
        <v>41</v>
      </c>
      <c r="K28" s="24" t="s">
        <v>19</v>
      </c>
      <c r="L28" s="36">
        <v>1</v>
      </c>
      <c r="M28" s="27" t="s">
        <v>21</v>
      </c>
      <c r="N28" s="24"/>
    </row>
    <row r="29" spans="1:14">
      <c r="A29" s="24">
        <v>29</v>
      </c>
      <c r="B29" s="24" t="s">
        <v>50</v>
      </c>
      <c r="C29" s="24" t="s">
        <v>56</v>
      </c>
      <c r="D29" s="24" t="s">
        <v>16</v>
      </c>
      <c r="E29" s="30" t="s">
        <v>34</v>
      </c>
      <c r="F29" s="36">
        <v>0.75</v>
      </c>
      <c r="G29" s="26" t="s">
        <v>18</v>
      </c>
      <c r="H29" s="24" t="s">
        <v>19</v>
      </c>
      <c r="I29" s="36">
        <v>1</v>
      </c>
      <c r="J29" s="26" t="s">
        <v>20</v>
      </c>
      <c r="K29" s="24" t="s">
        <v>24</v>
      </c>
      <c r="L29" s="36">
        <v>1</v>
      </c>
      <c r="M29" s="27" t="s">
        <v>21</v>
      </c>
      <c r="N29" s="24"/>
    </row>
    <row r="30" spans="1:14">
      <c r="A30" s="24">
        <v>30</v>
      </c>
      <c r="B30" s="24" t="s">
        <v>50</v>
      </c>
      <c r="C30" s="24" t="s">
        <v>57</v>
      </c>
      <c r="D30" s="24" t="s">
        <v>16</v>
      </c>
      <c r="E30" s="25" t="s">
        <v>17</v>
      </c>
      <c r="F30" s="36">
        <v>1</v>
      </c>
      <c r="G30" s="26" t="s">
        <v>18</v>
      </c>
      <c r="H30" s="24" t="s">
        <v>19</v>
      </c>
      <c r="I30" s="36">
        <v>1.5</v>
      </c>
      <c r="J30" s="28" t="s">
        <v>58</v>
      </c>
      <c r="K30" s="24" t="s">
        <v>24</v>
      </c>
      <c r="L30" s="36">
        <v>1.5</v>
      </c>
      <c r="M30" s="27" t="s">
        <v>21</v>
      </c>
      <c r="N30" s="24"/>
    </row>
    <row r="31" spans="1:14">
      <c r="A31" s="24">
        <v>31</v>
      </c>
      <c r="B31" s="24" t="s">
        <v>50</v>
      </c>
      <c r="C31" s="24" t="s">
        <v>59</v>
      </c>
      <c r="D31" s="24" t="s">
        <v>16</v>
      </c>
      <c r="E31" s="30" t="s">
        <v>34</v>
      </c>
      <c r="F31" s="36">
        <v>0.75</v>
      </c>
      <c r="G31" s="26" t="s">
        <v>18</v>
      </c>
      <c r="H31" s="24" t="s">
        <v>19</v>
      </c>
      <c r="I31" s="36">
        <v>1</v>
      </c>
      <c r="J31" s="28" t="s">
        <v>35</v>
      </c>
      <c r="K31" s="24" t="s">
        <v>19</v>
      </c>
      <c r="L31" s="36">
        <v>1</v>
      </c>
      <c r="M31" s="27" t="s">
        <v>21</v>
      </c>
      <c r="N31" s="24"/>
    </row>
    <row r="32" spans="1:14">
      <c r="A32" s="24">
        <v>32</v>
      </c>
      <c r="B32" s="24" t="s">
        <v>50</v>
      </c>
      <c r="C32" s="24" t="s">
        <v>60</v>
      </c>
      <c r="D32" s="24" t="s">
        <v>16</v>
      </c>
      <c r="E32" s="25" t="s">
        <v>17</v>
      </c>
      <c r="F32" s="36">
        <v>1</v>
      </c>
      <c r="G32" s="26" t="s">
        <v>18</v>
      </c>
      <c r="H32" s="24" t="s">
        <v>37</v>
      </c>
      <c r="I32" s="36">
        <v>1.5</v>
      </c>
      <c r="J32" s="27" t="s">
        <v>21</v>
      </c>
      <c r="K32" s="24" t="s">
        <v>37</v>
      </c>
      <c r="L32" s="36">
        <v>1.5</v>
      </c>
      <c r="M32" s="27" t="s">
        <v>21</v>
      </c>
      <c r="N32" s="24"/>
    </row>
    <row r="33" spans="1:14">
      <c r="A33" s="24">
        <v>33</v>
      </c>
      <c r="B33" s="24" t="s">
        <v>50</v>
      </c>
      <c r="C33" s="24" t="s">
        <v>61</v>
      </c>
      <c r="D33" s="24" t="s">
        <v>16</v>
      </c>
      <c r="E33" s="25" t="s">
        <v>17</v>
      </c>
      <c r="F33" s="36">
        <v>1</v>
      </c>
      <c r="G33" s="27" t="s">
        <v>18</v>
      </c>
      <c r="H33" s="24" t="s">
        <v>19</v>
      </c>
      <c r="I33" s="36">
        <v>1.5</v>
      </c>
      <c r="J33" s="27" t="s">
        <v>21</v>
      </c>
      <c r="K33" s="24" t="s">
        <v>37</v>
      </c>
      <c r="L33" s="36">
        <v>1.5</v>
      </c>
      <c r="M33" s="27" t="s">
        <v>21</v>
      </c>
      <c r="N33" s="24"/>
    </row>
    <row r="34" spans="1:14">
      <c r="A34" s="24">
        <v>34</v>
      </c>
      <c r="B34" s="24" t="s">
        <v>50</v>
      </c>
      <c r="C34" s="24" t="s">
        <v>62</v>
      </c>
      <c r="D34" s="24" t="s">
        <v>63</v>
      </c>
      <c r="E34" s="30" t="s">
        <v>34</v>
      </c>
      <c r="F34" s="36">
        <v>0.75</v>
      </c>
      <c r="G34" s="26" t="s">
        <v>18</v>
      </c>
      <c r="H34" s="24" t="s">
        <v>37</v>
      </c>
      <c r="I34" s="36">
        <v>1</v>
      </c>
      <c r="J34" s="27" t="s">
        <v>21</v>
      </c>
      <c r="K34" s="24" t="s">
        <v>37</v>
      </c>
      <c r="L34" s="36">
        <v>1</v>
      </c>
      <c r="M34" s="27" t="s">
        <v>21</v>
      </c>
      <c r="N34" s="24"/>
    </row>
    <row r="35" spans="1:14">
      <c r="A35" s="24">
        <v>35</v>
      </c>
      <c r="B35" s="24" t="s">
        <v>50</v>
      </c>
      <c r="C35" s="24" t="s">
        <v>64</v>
      </c>
      <c r="D35" s="24" t="s">
        <v>16</v>
      </c>
      <c r="E35" s="25" t="s">
        <v>17</v>
      </c>
      <c r="F35" s="36">
        <v>0.75</v>
      </c>
      <c r="G35" s="26" t="s">
        <v>18</v>
      </c>
      <c r="H35" s="24" t="s">
        <v>19</v>
      </c>
      <c r="I35" s="36">
        <v>1</v>
      </c>
      <c r="J35" s="26" t="s">
        <v>20</v>
      </c>
      <c r="K35" s="24" t="s">
        <v>37</v>
      </c>
      <c r="L35" s="36">
        <v>1</v>
      </c>
      <c r="M35" s="27" t="s">
        <v>21</v>
      </c>
      <c r="N35" s="24"/>
    </row>
    <row r="36" spans="1:14">
      <c r="A36" s="24">
        <v>36</v>
      </c>
      <c r="B36" s="24" t="s">
        <v>50</v>
      </c>
      <c r="C36" s="24" t="s">
        <v>65</v>
      </c>
      <c r="D36" s="24" t="s">
        <v>16</v>
      </c>
      <c r="E36" s="30" t="s">
        <v>34</v>
      </c>
      <c r="F36" s="36">
        <v>0.75</v>
      </c>
      <c r="G36" s="26" t="s">
        <v>18</v>
      </c>
      <c r="H36" s="24" t="s">
        <v>19</v>
      </c>
      <c r="I36" s="36">
        <v>1</v>
      </c>
      <c r="J36" s="26" t="s">
        <v>20</v>
      </c>
      <c r="K36" s="24" t="s">
        <v>37</v>
      </c>
      <c r="L36" s="36">
        <v>1</v>
      </c>
      <c r="M36" s="27" t="s">
        <v>21</v>
      </c>
      <c r="N36" s="24"/>
    </row>
    <row r="37" spans="1:14">
      <c r="A37" s="24">
        <v>37</v>
      </c>
      <c r="B37" s="24" t="s">
        <v>50</v>
      </c>
      <c r="C37" s="24" t="s">
        <v>66</v>
      </c>
      <c r="D37" s="24" t="s">
        <v>16</v>
      </c>
      <c r="E37" s="32" t="s">
        <v>67</v>
      </c>
      <c r="F37" s="36">
        <v>1</v>
      </c>
      <c r="G37" s="27" t="s">
        <v>18</v>
      </c>
      <c r="H37" s="24" t="s">
        <v>19</v>
      </c>
      <c r="I37" s="36">
        <v>1.5</v>
      </c>
      <c r="J37" s="27" t="s">
        <v>21</v>
      </c>
      <c r="K37" s="24"/>
      <c r="L37" s="36">
        <v>1.5</v>
      </c>
      <c r="M37" s="27" t="s">
        <v>21</v>
      </c>
      <c r="N37" s="24"/>
    </row>
    <row r="38" spans="1:14">
      <c r="A38" s="24">
        <v>38</v>
      </c>
      <c r="B38" s="24" t="s">
        <v>50</v>
      </c>
      <c r="C38" s="24" t="s">
        <v>68</v>
      </c>
      <c r="D38" s="24" t="s">
        <v>69</v>
      </c>
      <c r="E38" s="32" t="s">
        <v>67</v>
      </c>
      <c r="F38" s="36">
        <v>0.75</v>
      </c>
      <c r="G38" s="26" t="s">
        <v>18</v>
      </c>
      <c r="H38" s="24" t="s">
        <v>19</v>
      </c>
      <c r="I38" s="36">
        <v>1</v>
      </c>
      <c r="J38" s="33" t="s">
        <v>20</v>
      </c>
      <c r="K38" s="24" t="s">
        <v>19</v>
      </c>
      <c r="L38" s="36">
        <v>1</v>
      </c>
      <c r="M38" s="33" t="s">
        <v>70</v>
      </c>
      <c r="N38" s="24"/>
    </row>
    <row r="39" spans="1:14">
      <c r="A39" s="24">
        <v>39</v>
      </c>
      <c r="B39" s="24" t="s">
        <v>71</v>
      </c>
      <c r="C39" s="24" t="s">
        <v>72</v>
      </c>
      <c r="D39" s="24" t="s">
        <v>16</v>
      </c>
      <c r="E39" s="25" t="s">
        <v>17</v>
      </c>
      <c r="F39" s="36">
        <v>0.75</v>
      </c>
      <c r="G39" s="26" t="s">
        <v>18</v>
      </c>
      <c r="H39" s="24" t="s">
        <v>19</v>
      </c>
      <c r="I39" s="36">
        <v>1</v>
      </c>
      <c r="J39" s="26" t="s">
        <v>20</v>
      </c>
      <c r="K39" s="24" t="s">
        <v>37</v>
      </c>
      <c r="L39" s="36">
        <v>1</v>
      </c>
      <c r="M39" s="27" t="s">
        <v>21</v>
      </c>
      <c r="N39" s="24"/>
    </row>
    <row r="40" spans="1:14">
      <c r="A40" s="24">
        <v>40</v>
      </c>
      <c r="B40" s="24" t="s">
        <v>71</v>
      </c>
      <c r="C40" s="24" t="s">
        <v>73</v>
      </c>
      <c r="D40" s="24" t="s">
        <v>16</v>
      </c>
      <c r="E40" s="25" t="s">
        <v>17</v>
      </c>
      <c r="F40" s="36">
        <v>1</v>
      </c>
      <c r="G40" s="26" t="s">
        <v>18</v>
      </c>
      <c r="H40" s="24" t="s">
        <v>19</v>
      </c>
      <c r="I40" s="36">
        <v>1.5</v>
      </c>
      <c r="J40" s="26" t="s">
        <v>20</v>
      </c>
      <c r="K40" s="24" t="s">
        <v>19</v>
      </c>
      <c r="L40" s="36">
        <v>1.5</v>
      </c>
      <c r="M40" s="27" t="s">
        <v>21</v>
      </c>
      <c r="N40" s="24"/>
    </row>
    <row r="41" spans="1:14">
      <c r="A41" s="24">
        <v>41</v>
      </c>
      <c r="B41" s="24" t="s">
        <v>71</v>
      </c>
      <c r="C41" s="24" t="s">
        <v>74</v>
      </c>
      <c r="D41" s="24" t="s">
        <v>23</v>
      </c>
      <c r="E41" s="25" t="s">
        <v>17</v>
      </c>
      <c r="F41" s="36">
        <v>0.5</v>
      </c>
      <c r="G41" s="26" t="s">
        <v>18</v>
      </c>
      <c r="H41" s="24" t="s">
        <v>19</v>
      </c>
      <c r="I41" s="36">
        <v>0.75</v>
      </c>
      <c r="J41" s="26" t="s">
        <v>20</v>
      </c>
      <c r="K41" s="24" t="s">
        <v>37</v>
      </c>
      <c r="L41" s="36">
        <v>0.75</v>
      </c>
      <c r="M41" s="27" t="s">
        <v>21</v>
      </c>
      <c r="N41" s="24"/>
    </row>
    <row r="42" spans="1:14">
      <c r="A42" s="24">
        <v>42</v>
      </c>
      <c r="B42" s="24" t="s">
        <v>71</v>
      </c>
      <c r="C42" s="24" t="s">
        <v>75</v>
      </c>
      <c r="D42" s="24" t="s">
        <v>16</v>
      </c>
      <c r="E42" s="25" t="s">
        <v>17</v>
      </c>
      <c r="F42" s="36">
        <v>1</v>
      </c>
      <c r="G42" s="31" t="s">
        <v>18</v>
      </c>
      <c r="H42" s="24" t="s">
        <v>19</v>
      </c>
      <c r="I42" s="36">
        <v>1.5</v>
      </c>
      <c r="J42" s="27" t="s">
        <v>21</v>
      </c>
      <c r="K42" s="24"/>
      <c r="L42" s="36">
        <v>1.5</v>
      </c>
      <c r="M42" s="27" t="s">
        <v>21</v>
      </c>
      <c r="N42" s="24"/>
    </row>
    <row r="43" spans="1:14">
      <c r="A43" s="24">
        <v>43</v>
      </c>
      <c r="B43" s="24" t="s">
        <v>71</v>
      </c>
      <c r="C43" s="24" t="s">
        <v>76</v>
      </c>
      <c r="D43" s="24" t="s">
        <v>23</v>
      </c>
      <c r="E43" s="25" t="s">
        <v>17</v>
      </c>
      <c r="F43" s="36">
        <v>0.5</v>
      </c>
      <c r="G43" s="26" t="s">
        <v>18</v>
      </c>
      <c r="H43" s="24" t="s">
        <v>19</v>
      </c>
      <c r="I43" s="36">
        <v>0.75</v>
      </c>
      <c r="J43" s="26" t="s">
        <v>20</v>
      </c>
      <c r="K43" s="24" t="s">
        <v>24</v>
      </c>
      <c r="L43" s="36">
        <v>0.75</v>
      </c>
      <c r="M43" s="27" t="s">
        <v>21</v>
      </c>
      <c r="N43" s="24"/>
    </row>
    <row r="44" spans="1:14">
      <c r="A44" s="24">
        <v>44</v>
      </c>
      <c r="B44" s="24" t="s">
        <v>71</v>
      </c>
      <c r="C44" s="24" t="s">
        <v>77</v>
      </c>
      <c r="D44" s="24" t="s">
        <v>16</v>
      </c>
      <c r="E44" s="25" t="s">
        <v>17</v>
      </c>
      <c r="F44" s="36">
        <v>0.75</v>
      </c>
      <c r="G44" s="26" t="s">
        <v>18</v>
      </c>
      <c r="H44" s="24" t="s">
        <v>19</v>
      </c>
      <c r="I44" s="36">
        <v>1</v>
      </c>
      <c r="J44" s="26" t="s">
        <v>20</v>
      </c>
      <c r="K44" s="24" t="s">
        <v>37</v>
      </c>
      <c r="L44" s="36">
        <v>1</v>
      </c>
      <c r="M44" s="27" t="s">
        <v>21</v>
      </c>
      <c r="N44" s="24"/>
    </row>
    <row r="45" spans="1:14">
      <c r="A45" s="24">
        <v>45</v>
      </c>
      <c r="B45" s="24" t="s">
        <v>71</v>
      </c>
      <c r="C45" s="24" t="s">
        <v>78</v>
      </c>
      <c r="D45" s="24" t="s">
        <v>16</v>
      </c>
      <c r="E45" s="25" t="s">
        <v>17</v>
      </c>
      <c r="F45" s="36">
        <v>0.75</v>
      </c>
      <c r="G45" s="27" t="s">
        <v>21</v>
      </c>
      <c r="H45" s="24" t="s">
        <v>21</v>
      </c>
      <c r="I45" s="36">
        <v>1</v>
      </c>
      <c r="J45" s="27" t="s">
        <v>21</v>
      </c>
      <c r="K45" s="24"/>
      <c r="L45" s="36">
        <v>1</v>
      </c>
      <c r="M45" s="27" t="s">
        <v>21</v>
      </c>
      <c r="N45" s="24"/>
    </row>
    <row r="46" spans="1:14">
      <c r="A46" s="24">
        <v>46</v>
      </c>
      <c r="B46" s="24" t="s">
        <v>71</v>
      </c>
      <c r="C46" s="24" t="s">
        <v>79</v>
      </c>
      <c r="D46" s="24" t="s">
        <v>16</v>
      </c>
      <c r="E46" s="25" t="s">
        <v>17</v>
      </c>
      <c r="F46" s="36">
        <v>1</v>
      </c>
      <c r="G46" s="26" t="s">
        <v>18</v>
      </c>
      <c r="H46" s="24" t="s">
        <v>19</v>
      </c>
      <c r="I46" s="36">
        <v>1.5</v>
      </c>
      <c r="J46" s="28" t="s">
        <v>20</v>
      </c>
      <c r="K46" s="24" t="s">
        <v>19</v>
      </c>
      <c r="L46" s="36">
        <v>1.5</v>
      </c>
      <c r="M46" s="27" t="s">
        <v>21</v>
      </c>
      <c r="N46" s="24"/>
    </row>
    <row r="47" spans="1:14">
      <c r="A47" s="24">
        <v>47</v>
      </c>
      <c r="B47" s="24" t="s">
        <v>71</v>
      </c>
      <c r="C47" s="24" t="s">
        <v>80</v>
      </c>
      <c r="D47" s="24" t="s">
        <v>69</v>
      </c>
      <c r="E47" s="32" t="s">
        <v>67</v>
      </c>
      <c r="F47" s="36">
        <v>0.75</v>
      </c>
      <c r="G47" s="26" t="s">
        <v>18</v>
      </c>
      <c r="H47" s="24" t="s">
        <v>19</v>
      </c>
      <c r="I47" s="36">
        <v>1</v>
      </c>
      <c r="J47" s="33" t="s">
        <v>35</v>
      </c>
      <c r="K47" s="24" t="s">
        <v>19</v>
      </c>
      <c r="L47" s="36">
        <v>1</v>
      </c>
      <c r="M47" s="33" t="s">
        <v>70</v>
      </c>
      <c r="N47" s="24"/>
    </row>
    <row r="48" spans="1:14">
      <c r="A48" s="24">
        <v>48</v>
      </c>
      <c r="B48" s="24" t="s">
        <v>71</v>
      </c>
      <c r="C48" s="24" t="s">
        <v>81</v>
      </c>
      <c r="D48" s="24" t="s">
        <v>16</v>
      </c>
      <c r="E48" s="25" t="s">
        <v>17</v>
      </c>
      <c r="F48" s="36">
        <v>1</v>
      </c>
      <c r="G48" s="26" t="s">
        <v>18</v>
      </c>
      <c r="H48" s="24" t="s">
        <v>19</v>
      </c>
      <c r="I48" s="36">
        <v>1.5</v>
      </c>
      <c r="J48" s="34" t="s">
        <v>20</v>
      </c>
      <c r="K48" s="24" t="s">
        <v>19</v>
      </c>
      <c r="L48" s="36">
        <v>1.5</v>
      </c>
      <c r="M48" s="27" t="s">
        <v>21</v>
      </c>
      <c r="N48" s="24"/>
    </row>
    <row r="49" spans="1:14">
      <c r="A49" s="24">
        <v>49</v>
      </c>
      <c r="B49" s="24" t="s">
        <v>82</v>
      </c>
      <c r="C49" s="24" t="s">
        <v>83</v>
      </c>
      <c r="D49" s="24" t="s">
        <v>16</v>
      </c>
      <c r="E49" s="30" t="s">
        <v>34</v>
      </c>
      <c r="F49" s="36">
        <v>1</v>
      </c>
      <c r="G49" s="26" t="s">
        <v>18</v>
      </c>
      <c r="H49" s="24" t="s">
        <v>19</v>
      </c>
      <c r="I49" s="36">
        <v>1.5</v>
      </c>
      <c r="J49" s="26" t="s">
        <v>20</v>
      </c>
      <c r="K49" s="24" t="s">
        <v>19</v>
      </c>
      <c r="L49" s="36">
        <v>1.5</v>
      </c>
      <c r="M49" s="27" t="s">
        <v>21</v>
      </c>
      <c r="N49" s="24"/>
    </row>
    <row r="50" spans="1:14">
      <c r="A50" s="24">
        <v>50</v>
      </c>
      <c r="B50" s="24" t="s">
        <v>82</v>
      </c>
      <c r="C50" s="24" t="s">
        <v>84</v>
      </c>
      <c r="D50" s="24" t="s">
        <v>16</v>
      </c>
      <c r="E50" s="25" t="s">
        <v>17</v>
      </c>
      <c r="F50" s="36">
        <v>1</v>
      </c>
      <c r="G50" s="26" t="s">
        <v>18</v>
      </c>
      <c r="H50" s="24" t="s">
        <v>19</v>
      </c>
      <c r="I50" s="36">
        <v>1.5</v>
      </c>
      <c r="J50" s="28" t="s">
        <v>20</v>
      </c>
      <c r="K50" s="24" t="s">
        <v>19</v>
      </c>
      <c r="L50" s="36">
        <v>1.5</v>
      </c>
      <c r="M50" s="27" t="s">
        <v>21</v>
      </c>
      <c r="N50" s="24"/>
    </row>
    <row r="51" spans="1:14">
      <c r="A51" s="24">
        <v>51</v>
      </c>
      <c r="B51" s="24" t="s">
        <v>82</v>
      </c>
      <c r="C51" s="24" t="s">
        <v>85</v>
      </c>
      <c r="D51" s="24" t="s">
        <v>23</v>
      </c>
      <c r="E51" s="30" t="s">
        <v>34</v>
      </c>
      <c r="F51" s="36">
        <v>0.75</v>
      </c>
      <c r="G51" s="26" t="s">
        <v>18</v>
      </c>
      <c r="H51" s="24" t="s">
        <v>19</v>
      </c>
      <c r="I51" s="36">
        <v>1</v>
      </c>
      <c r="J51" s="28" t="s">
        <v>20</v>
      </c>
      <c r="K51" s="24" t="s">
        <v>19</v>
      </c>
      <c r="L51" s="36">
        <v>1</v>
      </c>
      <c r="M51" s="27" t="s">
        <v>21</v>
      </c>
      <c r="N51" s="24"/>
    </row>
    <row r="52" spans="1:14">
      <c r="A52" s="24">
        <v>52</v>
      </c>
      <c r="B52" s="24" t="s">
        <v>82</v>
      </c>
      <c r="C52" s="24" t="s">
        <v>86</v>
      </c>
      <c r="D52" s="24" t="s">
        <v>69</v>
      </c>
      <c r="E52" s="32" t="s">
        <v>67</v>
      </c>
      <c r="F52" s="36">
        <v>0.75</v>
      </c>
      <c r="G52" s="26" t="s">
        <v>18</v>
      </c>
      <c r="H52" s="24" t="s">
        <v>19</v>
      </c>
      <c r="I52" s="36">
        <v>1</v>
      </c>
      <c r="J52" s="33" t="s">
        <v>70</v>
      </c>
      <c r="K52" s="24"/>
      <c r="L52" s="36">
        <v>1</v>
      </c>
      <c r="M52" s="33" t="s">
        <v>70</v>
      </c>
      <c r="N52" s="24"/>
    </row>
    <row r="53" spans="1:14">
      <c r="A53" s="24">
        <v>53</v>
      </c>
      <c r="B53" s="24" t="s">
        <v>87</v>
      </c>
      <c r="C53" s="24" t="s">
        <v>87</v>
      </c>
      <c r="D53" s="24" t="s">
        <v>16</v>
      </c>
      <c r="E53" s="30" t="s">
        <v>34</v>
      </c>
      <c r="F53" s="36">
        <v>1</v>
      </c>
      <c r="G53" s="26" t="s">
        <v>18</v>
      </c>
      <c r="H53" s="24" t="s">
        <v>19</v>
      </c>
      <c r="I53" s="36">
        <v>1.5</v>
      </c>
      <c r="J53" s="26" t="s">
        <v>20</v>
      </c>
      <c r="K53" s="24" t="s">
        <v>37</v>
      </c>
      <c r="L53" s="36">
        <v>1.5</v>
      </c>
      <c r="M53" s="27" t="s">
        <v>21</v>
      </c>
      <c r="N53" s="24"/>
    </row>
    <row r="54" spans="1:14">
      <c r="A54" s="24">
        <v>54</v>
      </c>
      <c r="B54" s="24" t="s">
        <v>87</v>
      </c>
      <c r="C54" s="24" t="s">
        <v>88</v>
      </c>
      <c r="D54" s="24" t="s">
        <v>16</v>
      </c>
      <c r="E54" s="25" t="s">
        <v>17</v>
      </c>
      <c r="F54" s="36">
        <v>0.75</v>
      </c>
      <c r="G54" s="26" t="s">
        <v>18</v>
      </c>
      <c r="H54" s="24" t="s">
        <v>19</v>
      </c>
      <c r="I54" s="36">
        <v>1</v>
      </c>
      <c r="J54" s="26" t="s">
        <v>20</v>
      </c>
      <c r="K54" s="24" t="s">
        <v>37</v>
      </c>
      <c r="L54" s="36">
        <v>1</v>
      </c>
      <c r="M54" s="27" t="s">
        <v>21</v>
      </c>
      <c r="N54" s="24"/>
    </row>
    <row r="55" spans="1:14">
      <c r="A55" s="24">
        <v>55</v>
      </c>
      <c r="B55" s="24" t="s">
        <v>87</v>
      </c>
      <c r="C55" s="24" t="s">
        <v>89</v>
      </c>
      <c r="D55" s="24" t="s">
        <v>16</v>
      </c>
      <c r="E55" s="25" t="s">
        <v>17</v>
      </c>
      <c r="F55" s="36">
        <v>0.75</v>
      </c>
      <c r="G55" s="26" t="s">
        <v>18</v>
      </c>
      <c r="H55" s="24" t="s">
        <v>19</v>
      </c>
      <c r="I55" s="36">
        <v>1</v>
      </c>
      <c r="J55" s="26" t="s">
        <v>20</v>
      </c>
      <c r="K55" s="24" t="s">
        <v>37</v>
      </c>
      <c r="L55" s="36">
        <v>1</v>
      </c>
      <c r="M55" s="27" t="s">
        <v>21</v>
      </c>
      <c r="N55" s="24"/>
    </row>
    <row r="56" spans="1:14">
      <c r="A56" s="24">
        <v>57</v>
      </c>
      <c r="B56" s="24" t="s">
        <v>87</v>
      </c>
      <c r="C56" s="24" t="s">
        <v>90</v>
      </c>
      <c r="D56" s="24" t="s">
        <v>69</v>
      </c>
      <c r="E56" s="32" t="s">
        <v>67</v>
      </c>
      <c r="F56" s="36">
        <v>0.75</v>
      </c>
      <c r="G56" s="26" t="s">
        <v>18</v>
      </c>
      <c r="H56" s="24" t="s">
        <v>19</v>
      </c>
      <c r="I56" s="36">
        <v>1</v>
      </c>
      <c r="J56" s="33" t="s">
        <v>70</v>
      </c>
      <c r="K56" s="24"/>
      <c r="L56" s="36">
        <v>1</v>
      </c>
      <c r="M56" s="33" t="s">
        <v>70</v>
      </c>
      <c r="N56" s="24"/>
    </row>
    <row r="57" spans="1:14">
      <c r="A57" s="24">
        <v>58</v>
      </c>
      <c r="B57" s="24" t="s">
        <v>91</v>
      </c>
      <c r="C57" s="24" t="s">
        <v>92</v>
      </c>
      <c r="D57" s="24" t="s">
        <v>23</v>
      </c>
      <c r="E57" s="30" t="s">
        <v>34</v>
      </c>
      <c r="F57" s="36">
        <v>0.5</v>
      </c>
      <c r="G57" s="26" t="s">
        <v>18</v>
      </c>
      <c r="H57" s="24" t="s">
        <v>19</v>
      </c>
      <c r="I57" s="36">
        <v>0.75</v>
      </c>
      <c r="J57" s="26" t="s">
        <v>20</v>
      </c>
      <c r="K57" s="24" t="s">
        <v>24</v>
      </c>
      <c r="L57" s="36">
        <v>0.75</v>
      </c>
      <c r="M57" s="27" t="s">
        <v>21</v>
      </c>
      <c r="N57" s="24"/>
    </row>
    <row r="58" spans="1:14">
      <c r="A58" s="24">
        <v>59</v>
      </c>
      <c r="B58" s="24" t="s">
        <v>91</v>
      </c>
      <c r="C58" s="24" t="s">
        <v>93</v>
      </c>
      <c r="D58" s="24" t="s">
        <v>16</v>
      </c>
      <c r="E58" s="30" t="s">
        <v>34</v>
      </c>
      <c r="F58" s="36">
        <v>1</v>
      </c>
      <c r="G58" s="26" t="s">
        <v>18</v>
      </c>
      <c r="H58" s="24" t="s">
        <v>19</v>
      </c>
      <c r="I58" s="36">
        <v>1.5</v>
      </c>
      <c r="J58" s="26" t="s">
        <v>20</v>
      </c>
      <c r="K58" s="24" t="s">
        <v>24</v>
      </c>
      <c r="L58" s="36">
        <v>1.5</v>
      </c>
      <c r="M58" s="27" t="s">
        <v>21</v>
      </c>
      <c r="N58" s="24"/>
    </row>
    <row r="59" spans="1:14">
      <c r="A59" s="24">
        <v>60</v>
      </c>
      <c r="B59" s="24" t="s">
        <v>91</v>
      </c>
      <c r="C59" s="24" t="s">
        <v>94</v>
      </c>
      <c r="D59" s="24" t="s">
        <v>23</v>
      </c>
      <c r="E59" s="25" t="s">
        <v>17</v>
      </c>
      <c r="F59" s="36">
        <v>0.75</v>
      </c>
      <c r="G59" s="26" t="s">
        <v>18</v>
      </c>
      <c r="H59" s="24" t="s">
        <v>19</v>
      </c>
      <c r="I59" s="36">
        <v>1</v>
      </c>
      <c r="J59" s="28" t="s">
        <v>58</v>
      </c>
      <c r="K59" s="24" t="s">
        <v>24</v>
      </c>
      <c r="L59" s="36">
        <v>1</v>
      </c>
      <c r="M59" s="27" t="s">
        <v>21</v>
      </c>
      <c r="N59" s="24"/>
    </row>
    <row r="60" spans="1:14">
      <c r="A60" s="24">
        <v>61</v>
      </c>
      <c r="B60" s="24" t="s">
        <v>91</v>
      </c>
      <c r="C60" s="24" t="s">
        <v>95</v>
      </c>
      <c r="D60" s="24" t="s">
        <v>16</v>
      </c>
      <c r="E60" s="32" t="s">
        <v>67</v>
      </c>
      <c r="F60" s="36">
        <v>1</v>
      </c>
      <c r="G60" s="26" t="s">
        <v>18</v>
      </c>
      <c r="H60" s="24" t="s">
        <v>19</v>
      </c>
      <c r="I60" s="36">
        <v>1</v>
      </c>
      <c r="J60" s="33" t="s">
        <v>41</v>
      </c>
      <c r="K60" s="24" t="s">
        <v>19</v>
      </c>
      <c r="L60" s="36">
        <v>1</v>
      </c>
      <c r="M60" s="33" t="s">
        <v>70</v>
      </c>
      <c r="N60" s="24"/>
    </row>
    <row r="61" spans="1:14">
      <c r="A61" s="24">
        <v>62</v>
      </c>
      <c r="B61" s="24" t="s">
        <v>96</v>
      </c>
      <c r="C61" s="24" t="s">
        <v>97</v>
      </c>
      <c r="D61" s="24" t="s">
        <v>16</v>
      </c>
      <c r="E61" s="30" t="s">
        <v>34</v>
      </c>
      <c r="F61" s="36">
        <v>1</v>
      </c>
      <c r="G61" s="26" t="s">
        <v>18</v>
      </c>
      <c r="H61" s="24" t="s">
        <v>19</v>
      </c>
      <c r="I61" s="36">
        <v>1.5</v>
      </c>
      <c r="J61" s="28" t="s">
        <v>20</v>
      </c>
      <c r="K61" s="24" t="s">
        <v>98</v>
      </c>
      <c r="L61" s="36">
        <v>1.5</v>
      </c>
      <c r="M61" s="27" t="s">
        <v>21</v>
      </c>
      <c r="N61" s="24"/>
    </row>
    <row r="62" spans="1:14">
      <c r="A62" s="24">
        <v>63</v>
      </c>
      <c r="B62" s="24" t="s">
        <v>96</v>
      </c>
      <c r="C62" s="24" t="s">
        <v>99</v>
      </c>
      <c r="D62" s="24" t="s">
        <v>16</v>
      </c>
      <c r="E62" s="25" t="s">
        <v>17</v>
      </c>
      <c r="F62" s="36">
        <v>1</v>
      </c>
      <c r="G62" s="26" t="s">
        <v>18</v>
      </c>
      <c r="H62" s="24" t="s">
        <v>19</v>
      </c>
      <c r="I62" s="36">
        <v>1.5</v>
      </c>
      <c r="J62" s="28" t="s">
        <v>20</v>
      </c>
      <c r="K62" s="24" t="s">
        <v>98</v>
      </c>
      <c r="L62" s="36">
        <v>1.5</v>
      </c>
      <c r="M62" s="27" t="s">
        <v>21</v>
      </c>
      <c r="N62" s="24"/>
    </row>
    <row r="63" spans="1:14">
      <c r="A63" s="24">
        <v>64</v>
      </c>
      <c r="B63" s="24" t="s">
        <v>96</v>
      </c>
      <c r="C63" s="24" t="s">
        <v>100</v>
      </c>
      <c r="D63" s="24" t="s">
        <v>69</v>
      </c>
      <c r="E63" s="32" t="s">
        <v>67</v>
      </c>
      <c r="F63" s="36">
        <v>0.75</v>
      </c>
      <c r="G63" s="31" t="s">
        <v>18</v>
      </c>
      <c r="H63" s="24" t="s">
        <v>19</v>
      </c>
      <c r="I63" s="36">
        <v>1</v>
      </c>
      <c r="J63" s="33" t="s">
        <v>20</v>
      </c>
      <c r="K63" s="24" t="s">
        <v>98</v>
      </c>
      <c r="L63" s="36">
        <v>1</v>
      </c>
      <c r="M63" s="33" t="s">
        <v>70</v>
      </c>
      <c r="N63" s="24"/>
    </row>
    <row r="64" spans="1:14">
      <c r="A64" s="24">
        <v>65</v>
      </c>
      <c r="B64" s="24" t="s">
        <v>101</v>
      </c>
      <c r="C64" s="24" t="s">
        <v>101</v>
      </c>
      <c r="D64" s="24" t="s">
        <v>16</v>
      </c>
      <c r="E64" s="25" t="s">
        <v>17</v>
      </c>
      <c r="F64" s="36">
        <v>0.75</v>
      </c>
      <c r="G64" s="26" t="s">
        <v>18</v>
      </c>
      <c r="H64" s="24" t="s">
        <v>19</v>
      </c>
      <c r="I64" s="36">
        <v>1</v>
      </c>
      <c r="J64" s="28" t="s">
        <v>35</v>
      </c>
      <c r="K64" s="24" t="s">
        <v>37</v>
      </c>
      <c r="L64" s="36">
        <v>1</v>
      </c>
      <c r="M64" s="27" t="s">
        <v>21</v>
      </c>
      <c r="N64" s="24"/>
    </row>
    <row r="65" spans="1:14">
      <c r="A65" s="24">
        <v>66</v>
      </c>
      <c r="B65" s="24" t="s">
        <v>101</v>
      </c>
      <c r="C65" s="24" t="s">
        <v>102</v>
      </c>
      <c r="D65" s="24" t="s">
        <v>23</v>
      </c>
      <c r="E65" s="25" t="s">
        <v>17</v>
      </c>
      <c r="F65" s="36">
        <v>0.5</v>
      </c>
      <c r="G65" s="26" t="s">
        <v>18</v>
      </c>
      <c r="H65" s="24" t="s">
        <v>19</v>
      </c>
      <c r="I65" s="36">
        <v>0.75</v>
      </c>
      <c r="J65" s="28" t="s">
        <v>35</v>
      </c>
      <c r="K65" s="24" t="s">
        <v>37</v>
      </c>
      <c r="L65" s="36">
        <v>0.75</v>
      </c>
      <c r="M65" s="27" t="s">
        <v>21</v>
      </c>
      <c r="N65" s="24"/>
    </row>
    <row r="66" spans="1:14">
      <c r="A66" s="24">
        <v>67</v>
      </c>
      <c r="B66" s="24" t="s">
        <v>101</v>
      </c>
      <c r="C66" s="24" t="s">
        <v>103</v>
      </c>
      <c r="D66" s="24" t="s">
        <v>16</v>
      </c>
      <c r="E66" s="30" t="s">
        <v>34</v>
      </c>
      <c r="F66" s="36">
        <v>1</v>
      </c>
      <c r="G66" s="26" t="s">
        <v>18</v>
      </c>
      <c r="H66" s="24" t="s">
        <v>19</v>
      </c>
      <c r="I66" s="36">
        <v>1.5</v>
      </c>
      <c r="J66" s="28" t="s">
        <v>35</v>
      </c>
      <c r="K66" s="24" t="s">
        <v>37</v>
      </c>
      <c r="L66" s="36">
        <v>1.5</v>
      </c>
      <c r="M66" s="27" t="s">
        <v>21</v>
      </c>
      <c r="N66" s="24"/>
    </row>
    <row r="67" spans="1:14">
      <c r="A67" s="24">
        <v>69</v>
      </c>
      <c r="B67" s="24" t="s">
        <v>101</v>
      </c>
      <c r="C67" s="24" t="s">
        <v>104</v>
      </c>
      <c r="D67" s="24" t="s">
        <v>69</v>
      </c>
      <c r="E67" s="32" t="s">
        <v>67</v>
      </c>
      <c r="F67" s="36">
        <v>0.75</v>
      </c>
      <c r="G67" s="26" t="s">
        <v>18</v>
      </c>
      <c r="H67" s="24" t="s">
        <v>19</v>
      </c>
      <c r="I67" s="36">
        <v>1</v>
      </c>
      <c r="J67" s="33" t="s">
        <v>70</v>
      </c>
      <c r="K67" s="24"/>
      <c r="L67" s="36">
        <v>1</v>
      </c>
      <c r="M67" s="33" t="s">
        <v>70</v>
      </c>
      <c r="N67" s="24"/>
    </row>
    <row r="68" spans="1:14">
      <c r="A68" s="24">
        <v>70</v>
      </c>
      <c r="B68" s="24" t="s">
        <v>105</v>
      </c>
      <c r="C68" s="24" t="s">
        <v>106</v>
      </c>
      <c r="D68" s="24" t="s">
        <v>63</v>
      </c>
      <c r="E68" s="25" t="s">
        <v>17</v>
      </c>
      <c r="F68" s="36">
        <v>1</v>
      </c>
      <c r="G68" s="31" t="s">
        <v>18</v>
      </c>
      <c r="H68" s="24" t="s">
        <v>19</v>
      </c>
      <c r="I68" s="36">
        <v>1.5</v>
      </c>
      <c r="J68" s="27" t="s">
        <v>21</v>
      </c>
      <c r="K68" s="24"/>
      <c r="L68" s="36">
        <v>1.5</v>
      </c>
      <c r="M68" s="27" t="s">
        <v>21</v>
      </c>
      <c r="N68" s="24"/>
    </row>
    <row r="69" spans="1:14">
      <c r="A69" s="24">
        <v>71</v>
      </c>
      <c r="B69" s="24" t="s">
        <v>105</v>
      </c>
      <c r="C69" s="24" t="s">
        <v>107</v>
      </c>
      <c r="D69" s="24" t="s">
        <v>23</v>
      </c>
      <c r="E69" s="25" t="s">
        <v>17</v>
      </c>
      <c r="F69" s="36">
        <v>0.75</v>
      </c>
      <c r="G69" s="31" t="s">
        <v>18</v>
      </c>
      <c r="H69" s="24" t="s">
        <v>19</v>
      </c>
      <c r="I69" s="36">
        <v>1</v>
      </c>
      <c r="J69" s="27" t="s">
        <v>21</v>
      </c>
      <c r="K69" s="24"/>
      <c r="L69" s="36">
        <v>1</v>
      </c>
      <c r="M69" s="27" t="s">
        <v>21</v>
      </c>
      <c r="N69" s="24"/>
    </row>
    <row r="70" spans="1:14">
      <c r="A70" s="24">
        <v>72</v>
      </c>
      <c r="B70" s="24" t="s">
        <v>105</v>
      </c>
      <c r="C70" s="24" t="s">
        <v>108</v>
      </c>
      <c r="D70" s="24" t="s">
        <v>16</v>
      </c>
      <c r="E70" s="30" t="s">
        <v>34</v>
      </c>
      <c r="F70" s="36">
        <v>1</v>
      </c>
      <c r="G70" s="31" t="s">
        <v>18</v>
      </c>
      <c r="H70" s="24" t="s">
        <v>19</v>
      </c>
      <c r="I70" s="36">
        <v>1.5</v>
      </c>
      <c r="J70" s="27" t="s">
        <v>21</v>
      </c>
      <c r="K70" s="24"/>
      <c r="L70" s="36">
        <v>1.5</v>
      </c>
      <c r="M70" s="27" t="s">
        <v>21</v>
      </c>
      <c r="N70" s="24"/>
    </row>
    <row r="71" spans="1:14">
      <c r="A71" s="24">
        <v>74</v>
      </c>
      <c r="B71" s="24" t="s">
        <v>105</v>
      </c>
      <c r="C71" s="24" t="s">
        <v>109</v>
      </c>
      <c r="D71" s="24" t="s">
        <v>16</v>
      </c>
      <c r="E71" s="25" t="s">
        <v>17</v>
      </c>
      <c r="F71" s="36">
        <v>1</v>
      </c>
      <c r="G71" s="31" t="s">
        <v>18</v>
      </c>
      <c r="H71" s="24" t="s">
        <v>19</v>
      </c>
      <c r="I71" s="36">
        <v>1</v>
      </c>
      <c r="J71" s="27" t="s">
        <v>21</v>
      </c>
      <c r="K71" s="24"/>
      <c r="L71" s="36">
        <v>1</v>
      </c>
      <c r="M71" s="27" t="s">
        <v>21</v>
      </c>
      <c r="N71" s="24"/>
    </row>
    <row r="72" spans="1:14">
      <c r="A72" s="24">
        <v>75</v>
      </c>
      <c r="B72" s="24" t="s">
        <v>105</v>
      </c>
      <c r="C72" s="24" t="s">
        <v>110</v>
      </c>
      <c r="D72" s="24" t="s">
        <v>63</v>
      </c>
      <c r="E72" s="25" t="s">
        <v>17</v>
      </c>
      <c r="F72" s="36">
        <v>1.5</v>
      </c>
      <c r="G72" s="26" t="s">
        <v>18</v>
      </c>
      <c r="H72" s="24" t="s">
        <v>19</v>
      </c>
      <c r="I72" s="36">
        <v>1.5</v>
      </c>
      <c r="J72" s="27" t="s">
        <v>21</v>
      </c>
      <c r="K72" s="24"/>
      <c r="L72" s="36">
        <v>1.5</v>
      </c>
      <c r="M72" s="27" t="s">
        <v>21</v>
      </c>
      <c r="N72" s="24"/>
    </row>
    <row r="73" spans="1:14">
      <c r="A73" s="24">
        <v>77</v>
      </c>
      <c r="B73" s="24" t="s">
        <v>111</v>
      </c>
      <c r="C73" s="24" t="s">
        <v>112</v>
      </c>
      <c r="D73" s="24" t="s">
        <v>63</v>
      </c>
      <c r="E73" s="25" t="s">
        <v>17</v>
      </c>
      <c r="F73" s="36">
        <v>0.75</v>
      </c>
      <c r="G73" s="31" t="s">
        <v>18</v>
      </c>
      <c r="H73" s="24" t="s">
        <v>19</v>
      </c>
      <c r="I73" s="36">
        <v>1</v>
      </c>
      <c r="J73" s="27" t="s">
        <v>21</v>
      </c>
      <c r="K73" s="24"/>
      <c r="L73" s="36">
        <v>1</v>
      </c>
      <c r="M73" s="27" t="s">
        <v>21</v>
      </c>
      <c r="N73" s="24"/>
    </row>
    <row r="74" spans="1:14">
      <c r="A74" s="24">
        <v>78</v>
      </c>
      <c r="B74" s="24" t="s">
        <v>111</v>
      </c>
      <c r="C74" s="24" t="s">
        <v>113</v>
      </c>
      <c r="D74" s="24" t="s">
        <v>63</v>
      </c>
      <c r="E74" s="25" t="s">
        <v>17</v>
      </c>
      <c r="F74" s="36">
        <v>0.75</v>
      </c>
      <c r="G74" s="31" t="s">
        <v>18</v>
      </c>
      <c r="H74" s="24" t="s">
        <v>19</v>
      </c>
      <c r="I74" s="36">
        <v>1</v>
      </c>
      <c r="J74" s="27" t="s">
        <v>21</v>
      </c>
      <c r="K74" s="24"/>
      <c r="L74" s="36">
        <v>1</v>
      </c>
      <c r="M74" s="27" t="s">
        <v>21</v>
      </c>
      <c r="N74" s="24"/>
    </row>
    <row r="75" spans="1:14">
      <c r="A75" s="24">
        <v>79</v>
      </c>
      <c r="B75" s="24" t="s">
        <v>111</v>
      </c>
      <c r="C75" s="24" t="s">
        <v>114</v>
      </c>
      <c r="D75" s="24" t="s">
        <v>23</v>
      </c>
      <c r="E75" s="25" t="s">
        <v>17</v>
      </c>
      <c r="F75" s="36">
        <v>0.5</v>
      </c>
      <c r="G75" s="27" t="s">
        <v>18</v>
      </c>
      <c r="H75" s="24" t="s">
        <v>19</v>
      </c>
      <c r="I75" s="36">
        <v>0.75</v>
      </c>
      <c r="J75" s="27" t="s">
        <v>21</v>
      </c>
      <c r="K75" s="24"/>
      <c r="L75" s="36">
        <v>0.75</v>
      </c>
      <c r="M75" s="27" t="s">
        <v>21</v>
      </c>
      <c r="N75" s="24"/>
    </row>
    <row r="76" spans="1:14">
      <c r="A76" s="24">
        <v>80</v>
      </c>
      <c r="B76" s="24" t="s">
        <v>111</v>
      </c>
      <c r="C76" s="24" t="s">
        <v>115</v>
      </c>
      <c r="D76" s="24" t="s">
        <v>63</v>
      </c>
      <c r="E76" s="25" t="s">
        <v>17</v>
      </c>
      <c r="F76" s="36">
        <v>1</v>
      </c>
      <c r="G76" s="27" t="s">
        <v>18</v>
      </c>
      <c r="H76" s="24" t="s">
        <v>19</v>
      </c>
      <c r="I76" s="36">
        <v>1.5</v>
      </c>
      <c r="J76" s="27" t="s">
        <v>21</v>
      </c>
      <c r="K76" s="24"/>
      <c r="L76" s="36">
        <v>1.5</v>
      </c>
      <c r="M76" s="27" t="s">
        <v>21</v>
      </c>
      <c r="N76" s="24"/>
    </row>
    <row r="77" spans="1:14">
      <c r="A77" s="24">
        <v>81</v>
      </c>
      <c r="B77" s="24" t="s">
        <v>111</v>
      </c>
      <c r="C77" s="24" t="s">
        <v>116</v>
      </c>
      <c r="D77" s="24" t="s">
        <v>23</v>
      </c>
      <c r="E77" s="30" t="s">
        <v>34</v>
      </c>
      <c r="F77" s="36">
        <v>0.5</v>
      </c>
      <c r="G77" s="27" t="s">
        <v>18</v>
      </c>
      <c r="H77" s="24" t="s">
        <v>19</v>
      </c>
      <c r="I77" s="36">
        <v>0.75</v>
      </c>
      <c r="J77" s="27" t="s">
        <v>21</v>
      </c>
      <c r="K77" s="24"/>
      <c r="L77" s="36">
        <v>0.75</v>
      </c>
      <c r="M77" s="27" t="s">
        <v>21</v>
      </c>
      <c r="N77" s="24"/>
    </row>
    <row r="78" spans="1:14">
      <c r="A78" s="24">
        <v>83</v>
      </c>
      <c r="B78" s="24" t="s">
        <v>111</v>
      </c>
      <c r="C78" s="24" t="s">
        <v>117</v>
      </c>
      <c r="D78" s="24" t="s">
        <v>16</v>
      </c>
      <c r="E78" s="25" t="s">
        <v>17</v>
      </c>
      <c r="F78" s="36">
        <v>0.75</v>
      </c>
      <c r="G78" s="31" t="s">
        <v>18</v>
      </c>
      <c r="H78" s="24" t="s">
        <v>19</v>
      </c>
      <c r="I78" s="36">
        <v>1</v>
      </c>
      <c r="J78" s="27" t="s">
        <v>21</v>
      </c>
      <c r="K78" s="24"/>
      <c r="L78" s="36">
        <v>1</v>
      </c>
      <c r="M78" s="27" t="s">
        <v>21</v>
      </c>
      <c r="N78" s="24"/>
    </row>
    <row r="79" spans="1:14">
      <c r="A79" s="24">
        <v>84</v>
      </c>
      <c r="B79" s="24" t="s">
        <v>111</v>
      </c>
      <c r="C79" s="24" t="s">
        <v>118</v>
      </c>
      <c r="D79" s="24" t="s">
        <v>63</v>
      </c>
      <c r="E79" s="25" t="s">
        <v>17</v>
      </c>
      <c r="F79" s="36">
        <v>0.75</v>
      </c>
      <c r="G79" s="31" t="s">
        <v>18</v>
      </c>
      <c r="H79" s="24" t="s">
        <v>19</v>
      </c>
      <c r="I79" s="36">
        <v>1</v>
      </c>
      <c r="J79" s="27" t="s">
        <v>21</v>
      </c>
      <c r="K79" s="24"/>
      <c r="L79" s="36">
        <v>1</v>
      </c>
      <c r="M79" s="27" t="s">
        <v>21</v>
      </c>
      <c r="N79" s="24"/>
    </row>
    <row r="80" spans="1:14">
      <c r="A80" s="24">
        <v>86</v>
      </c>
      <c r="B80" s="24" t="s">
        <v>111</v>
      </c>
      <c r="C80" s="24" t="s">
        <v>119</v>
      </c>
      <c r="D80" s="24" t="s">
        <v>63</v>
      </c>
      <c r="E80" s="32" t="s">
        <v>67</v>
      </c>
      <c r="F80" s="36">
        <v>1</v>
      </c>
      <c r="G80" s="27" t="s">
        <v>18</v>
      </c>
      <c r="H80" s="24" t="s">
        <v>19</v>
      </c>
      <c r="I80" s="36">
        <v>1.5</v>
      </c>
      <c r="J80" s="33" t="s">
        <v>70</v>
      </c>
      <c r="K80" s="24"/>
      <c r="L80" s="36">
        <v>1.5</v>
      </c>
      <c r="M80" s="33" t="s">
        <v>70</v>
      </c>
      <c r="N80" s="24"/>
    </row>
    <row r="81" spans="1:14">
      <c r="A81" s="24">
        <v>87</v>
      </c>
      <c r="B81" s="24" t="s">
        <v>111</v>
      </c>
      <c r="C81" s="24" t="s">
        <v>120</v>
      </c>
      <c r="D81" s="24" t="s">
        <v>63</v>
      </c>
      <c r="E81" s="32" t="s">
        <v>67</v>
      </c>
      <c r="F81" s="36">
        <v>1</v>
      </c>
      <c r="G81" s="27" t="s">
        <v>18</v>
      </c>
      <c r="H81" s="24" t="s">
        <v>19</v>
      </c>
      <c r="I81" s="36">
        <v>1.5</v>
      </c>
      <c r="J81" s="33" t="s">
        <v>70</v>
      </c>
      <c r="K81" s="24"/>
      <c r="L81" s="36">
        <v>1.5</v>
      </c>
      <c r="M81" s="33" t="s">
        <v>70</v>
      </c>
      <c r="N81" s="24"/>
    </row>
    <row r="82" spans="1:14">
      <c r="A82" s="24">
        <v>88</v>
      </c>
      <c r="B82" s="24" t="s">
        <v>111</v>
      </c>
      <c r="C82" s="24" t="s">
        <v>121</v>
      </c>
      <c r="D82" s="24" t="s">
        <v>63</v>
      </c>
      <c r="E82" s="32" t="s">
        <v>67</v>
      </c>
      <c r="F82" s="36">
        <v>1</v>
      </c>
      <c r="G82" s="27" t="s">
        <v>18</v>
      </c>
      <c r="H82" s="24" t="s">
        <v>19</v>
      </c>
      <c r="I82" s="36">
        <v>1.5</v>
      </c>
      <c r="J82" s="33" t="s">
        <v>70</v>
      </c>
      <c r="K82" s="24"/>
      <c r="L82" s="36">
        <v>1.5</v>
      </c>
      <c r="M82" s="33" t="s">
        <v>70</v>
      </c>
      <c r="N82" s="24"/>
    </row>
    <row r="83" spans="1:14">
      <c r="A83" s="24">
        <v>89</v>
      </c>
      <c r="B83" s="24" t="s">
        <v>111</v>
      </c>
      <c r="C83" s="24" t="s">
        <v>122</v>
      </c>
      <c r="D83" s="24" t="s">
        <v>63</v>
      </c>
      <c r="E83" s="32" t="s">
        <v>67</v>
      </c>
      <c r="F83" s="36">
        <v>1</v>
      </c>
      <c r="G83" s="27" t="s">
        <v>18</v>
      </c>
      <c r="H83" s="24" t="s">
        <v>19</v>
      </c>
      <c r="I83" s="36">
        <v>1.5</v>
      </c>
      <c r="J83" s="33" t="s">
        <v>70</v>
      </c>
      <c r="K83" s="24"/>
      <c r="L83" s="36">
        <v>1.5</v>
      </c>
      <c r="M83" s="33" t="s">
        <v>70</v>
      </c>
      <c r="N83" s="24"/>
    </row>
    <row r="84" spans="1:14">
      <c r="A84" s="24">
        <v>90</v>
      </c>
      <c r="B84" s="24" t="s">
        <v>123</v>
      </c>
      <c r="C84" s="24" t="s">
        <v>124</v>
      </c>
      <c r="D84" s="24" t="s">
        <v>16</v>
      </c>
      <c r="E84" s="32" t="s">
        <v>67</v>
      </c>
      <c r="F84" s="36">
        <v>2.5</v>
      </c>
      <c r="G84" s="27" t="s">
        <v>125</v>
      </c>
      <c r="H84" s="24" t="s">
        <v>21</v>
      </c>
      <c r="I84" s="36">
        <v>3</v>
      </c>
      <c r="J84" s="27" t="s">
        <v>21</v>
      </c>
      <c r="K84" s="24"/>
      <c r="L84" s="36">
        <v>3</v>
      </c>
      <c r="M84" s="27" t="s">
        <v>21</v>
      </c>
      <c r="N84" s="24"/>
    </row>
    <row r="85" spans="1:14">
      <c r="A85" s="24">
        <v>91</v>
      </c>
      <c r="B85" s="24" t="s">
        <v>123</v>
      </c>
      <c r="C85" s="24" t="s">
        <v>126</v>
      </c>
      <c r="D85" s="24" t="s">
        <v>16</v>
      </c>
      <c r="E85" s="32" t="s">
        <v>67</v>
      </c>
      <c r="F85" s="36">
        <v>2.5</v>
      </c>
      <c r="G85" s="27" t="s">
        <v>125</v>
      </c>
      <c r="H85" s="24" t="s">
        <v>21</v>
      </c>
      <c r="I85" s="36">
        <v>3</v>
      </c>
      <c r="J85" s="27" t="s">
        <v>21</v>
      </c>
      <c r="K85" s="24"/>
      <c r="L85" s="36">
        <v>3</v>
      </c>
      <c r="M85" s="27" t="s">
        <v>21</v>
      </c>
      <c r="N85" s="24"/>
    </row>
    <row r="86" spans="1:14">
      <c r="A86" s="24">
        <v>92</v>
      </c>
      <c r="B86" s="24" t="s">
        <v>123</v>
      </c>
      <c r="C86" s="24" t="s">
        <v>127</v>
      </c>
      <c r="D86" s="24" t="s">
        <v>16</v>
      </c>
      <c r="E86" s="32" t="s">
        <v>67</v>
      </c>
      <c r="F86" s="36">
        <v>2.5</v>
      </c>
      <c r="G86" s="27" t="s">
        <v>125</v>
      </c>
      <c r="H86" s="24" t="s">
        <v>21</v>
      </c>
      <c r="I86" s="36">
        <v>3</v>
      </c>
      <c r="J86" s="27" t="s">
        <v>21</v>
      </c>
      <c r="K86" s="24"/>
      <c r="L86" s="36">
        <v>3</v>
      </c>
      <c r="M86" s="27" t="s">
        <v>21</v>
      </c>
      <c r="N86" s="24"/>
    </row>
    <row r="87" spans="1:14">
      <c r="A87" s="24">
        <v>93</v>
      </c>
      <c r="B87" s="24" t="s">
        <v>123</v>
      </c>
      <c r="C87" s="24" t="s">
        <v>128</v>
      </c>
      <c r="D87" s="24" t="s">
        <v>16</v>
      </c>
      <c r="E87" s="32" t="s">
        <v>67</v>
      </c>
      <c r="F87" s="36">
        <v>2.5</v>
      </c>
      <c r="G87" s="27" t="s">
        <v>125</v>
      </c>
      <c r="H87" s="24" t="s">
        <v>70</v>
      </c>
      <c r="I87" s="36">
        <v>3</v>
      </c>
      <c r="J87" s="33" t="s">
        <v>70</v>
      </c>
      <c r="K87" s="24"/>
      <c r="L87" s="36">
        <v>3</v>
      </c>
      <c r="M87" s="33" t="s">
        <v>70</v>
      </c>
      <c r="N87" s="24"/>
    </row>
    <row r="88" spans="1:14">
      <c r="A88" s="24">
        <v>94</v>
      </c>
      <c r="B88" s="24" t="s">
        <v>123</v>
      </c>
      <c r="C88" s="24" t="s">
        <v>129</v>
      </c>
      <c r="D88" s="24" t="s">
        <v>16</v>
      </c>
      <c r="E88" s="32" t="s">
        <v>67</v>
      </c>
      <c r="F88" s="36">
        <v>2.5</v>
      </c>
      <c r="G88" s="27" t="s">
        <v>125</v>
      </c>
      <c r="H88" s="24" t="s">
        <v>70</v>
      </c>
      <c r="I88" s="36">
        <v>3</v>
      </c>
      <c r="J88" s="33" t="s">
        <v>70</v>
      </c>
      <c r="K88" s="24"/>
      <c r="L88" s="36">
        <v>3</v>
      </c>
      <c r="M88" s="33" t="s">
        <v>70</v>
      </c>
      <c r="N88" s="24"/>
    </row>
    <row r="89" spans="1:14">
      <c r="A89" s="24">
        <v>95</v>
      </c>
      <c r="B89" s="24" t="s">
        <v>123</v>
      </c>
      <c r="C89" s="24" t="s">
        <v>130</v>
      </c>
      <c r="D89" s="24" t="s">
        <v>69</v>
      </c>
      <c r="E89" s="32" t="s">
        <v>67</v>
      </c>
      <c r="F89" s="36">
        <v>2.5</v>
      </c>
      <c r="G89" s="27" t="s">
        <v>125</v>
      </c>
      <c r="H89" s="24" t="s">
        <v>70</v>
      </c>
      <c r="I89" s="36">
        <v>3</v>
      </c>
      <c r="J89" s="33" t="s">
        <v>70</v>
      </c>
      <c r="K89" s="24"/>
      <c r="L89" s="36">
        <v>3</v>
      </c>
      <c r="M89" s="33" t="s">
        <v>70</v>
      </c>
      <c r="N89" s="24"/>
    </row>
    <row r="90" spans="1:14">
      <c r="A90" s="24">
        <v>96</v>
      </c>
      <c r="B90" s="24" t="s">
        <v>131</v>
      </c>
      <c r="C90" s="24" t="s">
        <v>132</v>
      </c>
      <c r="D90" s="24" t="s">
        <v>16</v>
      </c>
      <c r="E90" s="25" t="s">
        <v>17</v>
      </c>
      <c r="F90" s="36">
        <v>1</v>
      </c>
      <c r="G90" s="26" t="s">
        <v>18</v>
      </c>
      <c r="H90" s="24" t="s">
        <v>19</v>
      </c>
      <c r="I90" s="36">
        <v>1.5</v>
      </c>
      <c r="J90" s="27" t="s">
        <v>21</v>
      </c>
      <c r="K90" s="24"/>
      <c r="L90" s="36">
        <v>1.5</v>
      </c>
      <c r="M90" s="27" t="s">
        <v>21</v>
      </c>
      <c r="N90" s="24"/>
    </row>
    <row r="91" spans="1:14">
      <c r="A91" s="24">
        <v>97</v>
      </c>
      <c r="B91" s="24" t="s">
        <v>131</v>
      </c>
      <c r="C91" s="24" t="s">
        <v>133</v>
      </c>
      <c r="D91" s="24" t="s">
        <v>63</v>
      </c>
      <c r="E91" s="25" t="s">
        <v>17</v>
      </c>
      <c r="F91" s="36">
        <v>0.75</v>
      </c>
      <c r="G91" s="31" t="s">
        <v>18</v>
      </c>
      <c r="H91" s="24" t="s">
        <v>19</v>
      </c>
      <c r="I91" s="36">
        <v>1</v>
      </c>
      <c r="J91" s="27" t="s">
        <v>21</v>
      </c>
      <c r="K91" s="24"/>
      <c r="L91" s="36">
        <v>1</v>
      </c>
      <c r="M91" s="27" t="s">
        <v>21</v>
      </c>
      <c r="N91" s="24"/>
    </row>
    <row r="92" spans="1:14">
      <c r="A92" s="24">
        <v>98</v>
      </c>
      <c r="B92" s="24" t="s">
        <v>131</v>
      </c>
      <c r="C92" s="24" t="s">
        <v>134</v>
      </c>
      <c r="D92" s="24" t="s">
        <v>69</v>
      </c>
      <c r="E92" s="32" t="s">
        <v>67</v>
      </c>
      <c r="F92" s="36">
        <v>0.75</v>
      </c>
      <c r="G92" s="26" t="s">
        <v>18</v>
      </c>
      <c r="H92" s="24" t="s">
        <v>19</v>
      </c>
      <c r="I92" s="36">
        <v>1</v>
      </c>
      <c r="J92" s="33" t="s">
        <v>70</v>
      </c>
      <c r="K92" s="24"/>
      <c r="L92" s="36">
        <v>1</v>
      </c>
      <c r="M92" s="33" t="s">
        <v>70</v>
      </c>
      <c r="N92" s="24"/>
    </row>
    <row r="93" spans="1:14">
      <c r="A93" s="24">
        <v>99</v>
      </c>
      <c r="B93" s="24" t="s">
        <v>131</v>
      </c>
      <c r="C93" s="24" t="s">
        <v>135</v>
      </c>
      <c r="D93" s="24" t="s">
        <v>69</v>
      </c>
      <c r="E93" s="32" t="s">
        <v>67</v>
      </c>
      <c r="F93" s="36">
        <v>0.75</v>
      </c>
      <c r="G93" s="26" t="s">
        <v>18</v>
      </c>
      <c r="H93" s="24" t="s">
        <v>19</v>
      </c>
      <c r="I93" s="36">
        <v>1</v>
      </c>
      <c r="J93" s="33" t="s">
        <v>70</v>
      </c>
      <c r="K93" s="24"/>
      <c r="L93" s="36">
        <v>1</v>
      </c>
      <c r="M93" s="33" t="s">
        <v>70</v>
      </c>
      <c r="N93" s="24"/>
    </row>
    <row r="94" spans="1:14">
      <c r="A94" s="24">
        <v>100</v>
      </c>
      <c r="B94" s="24" t="s">
        <v>131</v>
      </c>
      <c r="C94" s="24" t="s">
        <v>136</v>
      </c>
      <c r="D94" s="24" t="s">
        <v>63</v>
      </c>
      <c r="E94" s="32" t="s">
        <v>67</v>
      </c>
      <c r="F94" s="36">
        <v>1</v>
      </c>
      <c r="G94" s="26" t="s">
        <v>18</v>
      </c>
      <c r="H94" s="24" t="s">
        <v>19</v>
      </c>
      <c r="I94" s="36">
        <v>0.75</v>
      </c>
      <c r="J94" s="33" t="s">
        <v>70</v>
      </c>
      <c r="K94" s="24"/>
      <c r="L94" s="36">
        <v>0.75</v>
      </c>
      <c r="M94" s="33" t="s">
        <v>70</v>
      </c>
      <c r="N94" s="24"/>
    </row>
    <row r="95" spans="1:14">
      <c r="A95" s="24">
        <v>101</v>
      </c>
      <c r="B95" s="24" t="s">
        <v>131</v>
      </c>
      <c r="C95" s="24" t="s">
        <v>137</v>
      </c>
      <c r="D95" s="24" t="s">
        <v>63</v>
      </c>
      <c r="E95" s="32" t="s">
        <v>67</v>
      </c>
      <c r="F95" s="36">
        <v>0.75</v>
      </c>
      <c r="G95" s="27" t="s">
        <v>18</v>
      </c>
      <c r="H95" s="24" t="s">
        <v>19</v>
      </c>
      <c r="I95" s="36">
        <v>1</v>
      </c>
      <c r="J95" s="33" t="s">
        <v>70</v>
      </c>
      <c r="K95" s="24"/>
      <c r="L95" s="36">
        <v>1</v>
      </c>
      <c r="M95" s="33" t="s">
        <v>70</v>
      </c>
      <c r="N95" s="24"/>
    </row>
    <row r="96" spans="1:14">
      <c r="A96" s="24">
        <v>119</v>
      </c>
      <c r="B96" s="24" t="s">
        <v>138</v>
      </c>
      <c r="C96" s="24" t="s">
        <v>139</v>
      </c>
      <c r="D96" s="24" t="s">
        <v>140</v>
      </c>
      <c r="E96" s="25" t="s">
        <v>17</v>
      </c>
      <c r="F96" s="36">
        <v>0.5</v>
      </c>
      <c r="G96" s="27" t="s">
        <v>18</v>
      </c>
      <c r="H96" s="24" t="s">
        <v>19</v>
      </c>
      <c r="I96" s="36">
        <v>0.75</v>
      </c>
      <c r="J96" s="27" t="s">
        <v>21</v>
      </c>
      <c r="K96" s="24"/>
      <c r="L96" s="36">
        <v>0.75</v>
      </c>
      <c r="M96" s="27" t="s">
        <v>21</v>
      </c>
      <c r="N96" s="24"/>
    </row>
    <row r="97" spans="1:14">
      <c r="A97" s="24">
        <v>120</v>
      </c>
      <c r="B97" s="24" t="s">
        <v>138</v>
      </c>
      <c r="C97" s="24" t="s">
        <v>141</v>
      </c>
      <c r="D97" s="24" t="s">
        <v>69</v>
      </c>
      <c r="E97" s="25" t="s">
        <v>17</v>
      </c>
      <c r="F97" s="36">
        <v>1</v>
      </c>
      <c r="G97" s="27" t="s">
        <v>18</v>
      </c>
      <c r="H97" s="24" t="s">
        <v>19</v>
      </c>
      <c r="I97" s="36">
        <v>1.5</v>
      </c>
      <c r="J97" s="27" t="s">
        <v>21</v>
      </c>
      <c r="K97" s="24"/>
      <c r="L97" s="36">
        <v>1.5</v>
      </c>
      <c r="M97" s="27" t="s">
        <v>21</v>
      </c>
      <c r="N97" s="24"/>
    </row>
    <row r="98" spans="1:14">
      <c r="A98" s="24">
        <v>121</v>
      </c>
      <c r="B98" s="24" t="s">
        <v>138</v>
      </c>
      <c r="C98" s="24" t="s">
        <v>142</v>
      </c>
      <c r="D98" s="24" t="s">
        <v>143</v>
      </c>
      <c r="E98" s="25" t="s">
        <v>17</v>
      </c>
      <c r="F98" s="36">
        <v>0.75</v>
      </c>
      <c r="G98" s="27" t="s">
        <v>144</v>
      </c>
      <c r="H98" s="24" t="s">
        <v>19</v>
      </c>
      <c r="I98" s="36">
        <v>1</v>
      </c>
      <c r="J98" s="27" t="s">
        <v>21</v>
      </c>
      <c r="K98" s="24"/>
      <c r="L98" s="36">
        <v>1</v>
      </c>
      <c r="M98" s="27" t="s">
        <v>21</v>
      </c>
      <c r="N98" s="24"/>
    </row>
    <row r="99" spans="1:14">
      <c r="A99" s="24">
        <v>122</v>
      </c>
      <c r="B99" s="24" t="s">
        <v>43</v>
      </c>
      <c r="C99" s="24" t="s">
        <v>145</v>
      </c>
      <c r="D99" s="24" t="s">
        <v>23</v>
      </c>
      <c r="E99" s="25" t="s">
        <v>17</v>
      </c>
      <c r="F99" s="36">
        <v>0.5</v>
      </c>
      <c r="G99" s="26" t="s">
        <v>18</v>
      </c>
      <c r="H99" s="24" t="s">
        <v>19</v>
      </c>
      <c r="I99" s="36">
        <v>0.75</v>
      </c>
      <c r="J99" s="26" t="s">
        <v>20</v>
      </c>
      <c r="K99" s="24" t="s">
        <v>19</v>
      </c>
      <c r="L99" s="36">
        <v>0.75</v>
      </c>
      <c r="M99" s="27" t="s">
        <v>21</v>
      </c>
      <c r="N99" s="24"/>
    </row>
    <row r="100" spans="1:14">
      <c r="A100" s="39">
        <v>123</v>
      </c>
      <c r="B100" s="41" t="s">
        <v>43</v>
      </c>
      <c r="C100" s="41" t="s">
        <v>146</v>
      </c>
      <c r="D100" s="41" t="s">
        <v>69</v>
      </c>
      <c r="E100" s="25" t="s">
        <v>17</v>
      </c>
      <c r="F100" s="36">
        <v>0.75</v>
      </c>
      <c r="G100" s="26" t="s">
        <v>18</v>
      </c>
      <c r="H100" s="24" t="s">
        <v>19</v>
      </c>
      <c r="I100" s="36">
        <v>1</v>
      </c>
      <c r="J100" s="27" t="s">
        <v>21</v>
      </c>
      <c r="K100" s="24"/>
      <c r="L100" s="36">
        <v>1</v>
      </c>
      <c r="M100" s="27" t="s">
        <v>21</v>
      </c>
      <c r="N100" s="24"/>
    </row>
    <row r="101" spans="1:14">
      <c r="A101" s="39">
        <v>124</v>
      </c>
      <c r="B101" s="41" t="s">
        <v>14</v>
      </c>
      <c r="C101" s="41" t="s">
        <v>147</v>
      </c>
      <c r="D101" s="41" t="s">
        <v>69</v>
      </c>
      <c r="E101" s="25" t="s">
        <v>17</v>
      </c>
      <c r="F101" s="36">
        <v>0.75</v>
      </c>
      <c r="G101" s="26" t="s">
        <v>18</v>
      </c>
      <c r="H101" s="24" t="s">
        <v>19</v>
      </c>
      <c r="I101" s="36">
        <v>1</v>
      </c>
      <c r="J101" s="27" t="s">
        <v>21</v>
      </c>
      <c r="K101" s="24"/>
      <c r="L101" s="36">
        <v>1</v>
      </c>
      <c r="M101" s="27" t="s">
        <v>21</v>
      </c>
      <c r="N101" s="24"/>
    </row>
    <row r="102" spans="1:14">
      <c r="A102" s="39">
        <v>125</v>
      </c>
      <c r="B102" s="41" t="s">
        <v>50</v>
      </c>
      <c r="C102" s="41" t="s">
        <v>148</v>
      </c>
      <c r="D102" s="41" t="s">
        <v>69</v>
      </c>
      <c r="E102" s="25" t="s">
        <v>17</v>
      </c>
      <c r="F102" s="36">
        <v>0.75</v>
      </c>
      <c r="G102" s="26" t="s">
        <v>18</v>
      </c>
      <c r="H102" s="41" t="s">
        <v>19</v>
      </c>
      <c r="I102" s="36">
        <v>1</v>
      </c>
      <c r="J102" s="27" t="s">
        <v>21</v>
      </c>
      <c r="K102" s="24"/>
      <c r="L102" s="36">
        <v>1</v>
      </c>
      <c r="M102" s="27" t="s">
        <v>21</v>
      </c>
      <c r="N102" s="24"/>
    </row>
    <row r="103" spans="1:14">
      <c r="A103" s="35">
        <v>126</v>
      </c>
      <c r="B103" s="29" t="s">
        <v>105</v>
      </c>
      <c r="C103" s="29" t="s">
        <v>149</v>
      </c>
      <c r="D103" s="29" t="s">
        <v>23</v>
      </c>
      <c r="E103" s="30" t="s">
        <v>34</v>
      </c>
      <c r="F103" s="36">
        <v>0.5</v>
      </c>
      <c r="G103" s="26" t="s">
        <v>18</v>
      </c>
      <c r="H103" s="41" t="s">
        <v>19</v>
      </c>
      <c r="I103" s="36">
        <v>0.75</v>
      </c>
      <c r="J103" s="27" t="s">
        <v>21</v>
      </c>
      <c r="K103" s="24"/>
      <c r="L103" s="36">
        <v>0.75</v>
      </c>
      <c r="M103" s="27" t="s">
        <v>21</v>
      </c>
      <c r="N103" s="29"/>
    </row>
    <row r="104" spans="1:14">
      <c r="A104" s="35">
        <v>130</v>
      </c>
      <c r="B104" s="29" t="s">
        <v>150</v>
      </c>
      <c r="C104" s="29" t="s">
        <v>151</v>
      </c>
      <c r="D104" s="29" t="s">
        <v>16</v>
      </c>
      <c r="E104" s="25" t="s">
        <v>17</v>
      </c>
      <c r="F104" s="36">
        <v>0.75</v>
      </c>
      <c r="G104" s="27" t="s">
        <v>18</v>
      </c>
      <c r="H104" s="41" t="s">
        <v>19</v>
      </c>
      <c r="I104" s="36">
        <v>1</v>
      </c>
      <c r="J104" s="27" t="s">
        <v>21</v>
      </c>
      <c r="K104" s="24"/>
      <c r="L104" s="36">
        <v>1</v>
      </c>
      <c r="M104" s="27" t="s">
        <v>21</v>
      </c>
      <c r="N104" s="29"/>
    </row>
    <row r="105" spans="1:14">
      <c r="A105" s="35">
        <v>132</v>
      </c>
      <c r="B105" s="29" t="s">
        <v>50</v>
      </c>
      <c r="C105" s="29" t="s">
        <v>152</v>
      </c>
      <c r="D105" s="29" t="s">
        <v>23</v>
      </c>
      <c r="E105" s="25" t="s">
        <v>17</v>
      </c>
      <c r="F105" s="36">
        <v>0.5</v>
      </c>
      <c r="G105" s="27" t="s">
        <v>18</v>
      </c>
      <c r="H105" s="29" t="s">
        <v>19</v>
      </c>
      <c r="I105" s="36">
        <v>0.75</v>
      </c>
      <c r="J105" s="27" t="s">
        <v>21</v>
      </c>
      <c r="K105" s="24"/>
      <c r="L105" s="36">
        <v>0.75</v>
      </c>
      <c r="M105" s="27" t="s">
        <v>21</v>
      </c>
      <c r="N105" s="29"/>
    </row>
    <row r="106" spans="1:14">
      <c r="A106" s="35">
        <v>133</v>
      </c>
      <c r="B106" s="29" t="s">
        <v>101</v>
      </c>
      <c r="C106" s="29" t="s">
        <v>153</v>
      </c>
      <c r="D106" s="29" t="s">
        <v>16</v>
      </c>
      <c r="E106" s="25" t="s">
        <v>17</v>
      </c>
      <c r="F106" s="36">
        <v>0.75</v>
      </c>
      <c r="G106" s="27" t="s">
        <v>18</v>
      </c>
      <c r="H106" s="40" t="s">
        <v>19</v>
      </c>
      <c r="I106" s="36">
        <v>1</v>
      </c>
      <c r="J106" s="27" t="s">
        <v>21</v>
      </c>
      <c r="K106" s="24"/>
      <c r="L106" s="36">
        <v>1</v>
      </c>
      <c r="M106" s="27" t="s">
        <v>21</v>
      </c>
      <c r="N106" s="29"/>
    </row>
    <row r="107" spans="1:14">
      <c r="A107" s="35">
        <v>134</v>
      </c>
      <c r="B107" s="29" t="s">
        <v>101</v>
      </c>
      <c r="C107" s="29" t="s">
        <v>154</v>
      </c>
      <c r="D107" s="29" t="s">
        <v>69</v>
      </c>
      <c r="E107" s="25" t="s">
        <v>17</v>
      </c>
      <c r="F107" s="36">
        <v>0.75</v>
      </c>
      <c r="G107" s="27" t="s">
        <v>18</v>
      </c>
      <c r="H107" s="29" t="s">
        <v>19</v>
      </c>
      <c r="I107" s="36">
        <v>1</v>
      </c>
      <c r="J107" s="27" t="s">
        <v>21</v>
      </c>
      <c r="K107" s="24"/>
      <c r="L107" s="36">
        <v>1</v>
      </c>
      <c r="M107" s="27" t="s">
        <v>21</v>
      </c>
      <c r="N107" s="29"/>
    </row>
    <row r="108" spans="1:14">
      <c r="A108" s="35">
        <v>135</v>
      </c>
      <c r="B108" s="29" t="s">
        <v>14</v>
      </c>
      <c r="C108" s="29" t="s">
        <v>155</v>
      </c>
      <c r="D108" s="29" t="s">
        <v>16</v>
      </c>
      <c r="E108" s="25" t="s">
        <v>17</v>
      </c>
      <c r="F108" s="36">
        <v>1</v>
      </c>
      <c r="G108" s="26" t="s">
        <v>18</v>
      </c>
      <c r="H108" s="29" t="s">
        <v>19</v>
      </c>
      <c r="I108" s="36">
        <v>1.5</v>
      </c>
      <c r="J108" s="27" t="s">
        <v>20</v>
      </c>
      <c r="K108" s="24" t="s">
        <v>98</v>
      </c>
      <c r="L108" s="36">
        <v>1.5</v>
      </c>
      <c r="M108" s="27" t="s">
        <v>21</v>
      </c>
      <c r="N108" s="29"/>
    </row>
    <row r="109" spans="1:14">
      <c r="A109" s="35">
        <v>136</v>
      </c>
      <c r="B109" s="29" t="s">
        <v>156</v>
      </c>
      <c r="C109" s="29" t="s">
        <v>157</v>
      </c>
      <c r="D109" s="29" t="s">
        <v>16</v>
      </c>
      <c r="E109" s="25" t="s">
        <v>17</v>
      </c>
      <c r="F109" s="36">
        <v>0.75</v>
      </c>
      <c r="G109" s="26" t="s">
        <v>18</v>
      </c>
      <c r="H109" s="41" t="s">
        <v>19</v>
      </c>
      <c r="I109" s="36">
        <v>1</v>
      </c>
      <c r="J109" s="27" t="s">
        <v>21</v>
      </c>
      <c r="K109" s="24"/>
      <c r="L109" s="36">
        <v>1</v>
      </c>
      <c r="M109" s="27" t="s">
        <v>21</v>
      </c>
      <c r="N109" s="29"/>
    </row>
    <row r="110" spans="1:14">
      <c r="A110" s="35">
        <v>137</v>
      </c>
      <c r="B110" s="29" t="s">
        <v>156</v>
      </c>
      <c r="C110" s="29" t="s">
        <v>158</v>
      </c>
      <c r="D110" s="29" t="s">
        <v>16</v>
      </c>
      <c r="E110" s="25" t="s">
        <v>17</v>
      </c>
      <c r="F110" s="36">
        <v>0.75</v>
      </c>
      <c r="G110" s="26" t="s">
        <v>18</v>
      </c>
      <c r="H110" s="29" t="s">
        <v>19</v>
      </c>
      <c r="I110" s="36">
        <v>1</v>
      </c>
      <c r="J110" s="27" t="s">
        <v>21</v>
      </c>
      <c r="K110" s="24"/>
      <c r="L110" s="36">
        <v>1</v>
      </c>
      <c r="M110" s="27" t="s">
        <v>21</v>
      </c>
      <c r="N110" s="29"/>
    </row>
    <row r="111" spans="1:14">
      <c r="A111" s="35">
        <v>138</v>
      </c>
      <c r="B111" s="29" t="s">
        <v>156</v>
      </c>
      <c r="C111" s="29" t="s">
        <v>159</v>
      </c>
      <c r="D111" s="29" t="s">
        <v>16</v>
      </c>
      <c r="E111" s="25" t="s">
        <v>17</v>
      </c>
      <c r="F111" s="36">
        <v>0.75</v>
      </c>
      <c r="G111" s="26" t="s">
        <v>18</v>
      </c>
      <c r="H111" s="29" t="s">
        <v>19</v>
      </c>
      <c r="I111" s="36">
        <v>1</v>
      </c>
      <c r="J111" s="27" t="s">
        <v>21</v>
      </c>
      <c r="K111" s="24"/>
      <c r="L111" s="36">
        <v>1</v>
      </c>
      <c r="M111" s="27" t="s">
        <v>21</v>
      </c>
      <c r="N111" s="29"/>
    </row>
    <row r="112" spans="1:14">
      <c r="A112" s="35">
        <v>139</v>
      </c>
      <c r="B112" s="29" t="s">
        <v>160</v>
      </c>
      <c r="C112" s="29" t="s">
        <v>161</v>
      </c>
      <c r="D112" s="29" t="s">
        <v>23</v>
      </c>
      <c r="E112" s="30" t="s">
        <v>34</v>
      </c>
      <c r="F112" s="36">
        <v>0.5</v>
      </c>
      <c r="G112" s="26" t="s">
        <v>18</v>
      </c>
      <c r="H112" s="40" t="s">
        <v>19</v>
      </c>
      <c r="I112" s="36">
        <v>0.75</v>
      </c>
      <c r="J112" s="27" t="s">
        <v>20</v>
      </c>
      <c r="K112" s="24" t="s">
        <v>19</v>
      </c>
      <c r="L112" s="36">
        <v>0.75</v>
      </c>
      <c r="M112" s="27" t="s">
        <v>21</v>
      </c>
      <c r="N112" s="29"/>
    </row>
    <row r="113" spans="1:14">
      <c r="A113" s="35">
        <v>140</v>
      </c>
      <c r="B113" s="29" t="s">
        <v>160</v>
      </c>
      <c r="C113" s="29" t="s">
        <v>162</v>
      </c>
      <c r="D113" s="29" t="s">
        <v>23</v>
      </c>
      <c r="E113" s="30" t="s">
        <v>34</v>
      </c>
      <c r="F113" s="36">
        <v>0.5</v>
      </c>
      <c r="G113" s="26" t="s">
        <v>18</v>
      </c>
      <c r="H113" s="40" t="s">
        <v>19</v>
      </c>
      <c r="I113" s="36">
        <v>0.75</v>
      </c>
      <c r="J113" s="27" t="s">
        <v>20</v>
      </c>
      <c r="K113" s="24" t="s">
        <v>19</v>
      </c>
      <c r="L113" s="36">
        <v>0.75</v>
      </c>
      <c r="M113" s="27" t="s">
        <v>21</v>
      </c>
      <c r="N113" s="29"/>
    </row>
    <row r="114" spans="1:14">
      <c r="A114" s="35">
        <v>141</v>
      </c>
      <c r="B114" s="29" t="s">
        <v>160</v>
      </c>
      <c r="C114" s="29" t="s">
        <v>163</v>
      </c>
      <c r="D114" s="29" t="s">
        <v>23</v>
      </c>
      <c r="E114" s="30" t="s">
        <v>34</v>
      </c>
      <c r="F114" s="36">
        <v>0.5</v>
      </c>
      <c r="G114" s="26" t="s">
        <v>18</v>
      </c>
      <c r="H114" s="29" t="s">
        <v>19</v>
      </c>
      <c r="I114" s="36">
        <v>0.75</v>
      </c>
      <c r="J114" s="27" t="s">
        <v>21</v>
      </c>
      <c r="K114" s="24"/>
      <c r="L114" s="36">
        <v>0.75</v>
      </c>
      <c r="M114" s="27" t="s">
        <v>21</v>
      </c>
      <c r="N114" s="29"/>
    </row>
    <row r="115" spans="1:14">
      <c r="A115" s="35">
        <v>142</v>
      </c>
      <c r="B115" s="29" t="s">
        <v>160</v>
      </c>
      <c r="C115" s="29" t="s">
        <v>164</v>
      </c>
      <c r="D115" s="29" t="s">
        <v>23</v>
      </c>
      <c r="E115" s="30" t="s">
        <v>34</v>
      </c>
      <c r="F115" s="36">
        <v>0.5</v>
      </c>
      <c r="G115" s="26" t="s">
        <v>18</v>
      </c>
      <c r="H115" s="24" t="s">
        <v>19</v>
      </c>
      <c r="I115" s="36">
        <v>0.75</v>
      </c>
      <c r="J115" s="27" t="s">
        <v>20</v>
      </c>
      <c r="K115" s="24" t="s">
        <v>19</v>
      </c>
      <c r="L115" s="36">
        <v>0.75</v>
      </c>
      <c r="M115" s="27" t="s">
        <v>21</v>
      </c>
      <c r="N115" s="29"/>
    </row>
    <row r="116" spans="1:14">
      <c r="A116" s="35">
        <v>143</v>
      </c>
      <c r="B116" s="29" t="s">
        <v>160</v>
      </c>
      <c r="C116" s="29" t="s">
        <v>165</v>
      </c>
      <c r="D116" s="29" t="s">
        <v>23</v>
      </c>
      <c r="E116" s="30" t="s">
        <v>34</v>
      </c>
      <c r="F116" s="36">
        <v>0.5</v>
      </c>
      <c r="G116" s="26" t="s">
        <v>18</v>
      </c>
      <c r="H116" s="24" t="s">
        <v>19</v>
      </c>
      <c r="I116" s="36">
        <v>0.75</v>
      </c>
      <c r="J116" s="27" t="s">
        <v>20</v>
      </c>
      <c r="K116" s="24" t="s">
        <v>19</v>
      </c>
      <c r="L116" s="36">
        <v>0.75</v>
      </c>
      <c r="M116" s="27" t="s">
        <v>21</v>
      </c>
      <c r="N116" s="29"/>
    </row>
    <row r="117" spans="1:14">
      <c r="A117" s="35">
        <v>144</v>
      </c>
      <c r="B117" s="29" t="s">
        <v>160</v>
      </c>
      <c r="C117" s="29" t="s">
        <v>166</v>
      </c>
      <c r="D117" s="29" t="s">
        <v>23</v>
      </c>
      <c r="E117" s="30" t="s">
        <v>34</v>
      </c>
      <c r="F117" s="36">
        <v>0.5</v>
      </c>
      <c r="G117" s="26" t="s">
        <v>18</v>
      </c>
      <c r="H117" s="40" t="s">
        <v>19</v>
      </c>
      <c r="I117" s="36">
        <v>0.75</v>
      </c>
      <c r="J117" s="27" t="s">
        <v>20</v>
      </c>
      <c r="K117" s="24" t="s">
        <v>19</v>
      </c>
      <c r="L117" s="36">
        <v>0.75</v>
      </c>
      <c r="M117" s="27" t="s">
        <v>21</v>
      </c>
      <c r="N117" s="29"/>
    </row>
    <row r="118" spans="1:14">
      <c r="A118" s="35">
        <v>145</v>
      </c>
      <c r="B118" s="29" t="s">
        <v>160</v>
      </c>
      <c r="C118" s="29" t="s">
        <v>167</v>
      </c>
      <c r="D118" s="29" t="s">
        <v>23</v>
      </c>
      <c r="E118" s="30" t="s">
        <v>34</v>
      </c>
      <c r="F118" s="36">
        <v>0.5</v>
      </c>
      <c r="G118" s="26" t="s">
        <v>18</v>
      </c>
      <c r="H118" s="24" t="s">
        <v>19</v>
      </c>
      <c r="I118" s="36">
        <v>0.75</v>
      </c>
      <c r="J118" s="27" t="s">
        <v>20</v>
      </c>
      <c r="K118" s="24" t="s">
        <v>19</v>
      </c>
      <c r="L118" s="36">
        <v>0.75</v>
      </c>
      <c r="M118" s="27" t="s">
        <v>21</v>
      </c>
      <c r="N118" s="29"/>
    </row>
    <row r="119" spans="1:14">
      <c r="A119" s="35">
        <v>146</v>
      </c>
      <c r="B119" s="29" t="s">
        <v>160</v>
      </c>
      <c r="C119" s="29" t="s">
        <v>168</v>
      </c>
      <c r="D119" s="29" t="s">
        <v>23</v>
      </c>
      <c r="E119" s="30" t="s">
        <v>34</v>
      </c>
      <c r="F119" s="36">
        <v>0.5</v>
      </c>
      <c r="G119" s="26" t="s">
        <v>18</v>
      </c>
      <c r="H119" s="24" t="s">
        <v>19</v>
      </c>
      <c r="I119" s="36">
        <v>0.75</v>
      </c>
      <c r="J119" s="27" t="s">
        <v>20</v>
      </c>
      <c r="K119" s="24" t="s">
        <v>19</v>
      </c>
      <c r="L119" s="36">
        <v>0.75</v>
      </c>
      <c r="M119" s="27" t="s">
        <v>21</v>
      </c>
      <c r="N119" s="29"/>
    </row>
    <row r="120" spans="1:14">
      <c r="A120" s="35">
        <v>147</v>
      </c>
      <c r="B120" s="29" t="s">
        <v>160</v>
      </c>
      <c r="C120" s="29" t="s">
        <v>169</v>
      </c>
      <c r="D120" s="29" t="s">
        <v>23</v>
      </c>
      <c r="E120" s="30" t="s">
        <v>34</v>
      </c>
      <c r="F120" s="36">
        <v>0.5</v>
      </c>
      <c r="G120" s="26" t="s">
        <v>18</v>
      </c>
      <c r="H120" s="24" t="s">
        <v>19</v>
      </c>
      <c r="I120" s="36">
        <v>0.75</v>
      </c>
      <c r="J120" s="27" t="s">
        <v>20</v>
      </c>
      <c r="K120" s="24" t="s">
        <v>19</v>
      </c>
      <c r="L120" s="36">
        <v>0.75</v>
      </c>
      <c r="M120" s="27" t="s">
        <v>21</v>
      </c>
      <c r="N120" s="29"/>
    </row>
    <row r="121" spans="1:14">
      <c r="A121" s="35">
        <v>148</v>
      </c>
      <c r="B121" s="29" t="s">
        <v>160</v>
      </c>
      <c r="C121" s="29" t="s">
        <v>170</v>
      </c>
      <c r="D121" s="29" t="s">
        <v>23</v>
      </c>
      <c r="E121" s="30" t="s">
        <v>34</v>
      </c>
      <c r="F121" s="36">
        <v>0.5</v>
      </c>
      <c r="G121" s="26" t="s">
        <v>18</v>
      </c>
      <c r="H121" s="24" t="s">
        <v>19</v>
      </c>
      <c r="I121" s="36">
        <v>0.75</v>
      </c>
      <c r="J121" s="27" t="s">
        <v>20</v>
      </c>
      <c r="K121" s="24" t="s">
        <v>19</v>
      </c>
      <c r="L121" s="36">
        <v>0.75</v>
      </c>
      <c r="M121" s="27" t="s">
        <v>21</v>
      </c>
      <c r="N121" s="29"/>
    </row>
    <row r="122" spans="1:14">
      <c r="A122" s="35">
        <v>149</v>
      </c>
      <c r="B122" s="29" t="s">
        <v>160</v>
      </c>
      <c r="C122" s="29" t="s">
        <v>171</v>
      </c>
      <c r="D122" s="29" t="s">
        <v>23</v>
      </c>
      <c r="E122" s="30" t="s">
        <v>34</v>
      </c>
      <c r="F122" s="36">
        <v>0.5</v>
      </c>
      <c r="G122" s="26" t="s">
        <v>18</v>
      </c>
      <c r="H122" s="24" t="s">
        <v>19</v>
      </c>
      <c r="I122" s="36">
        <v>0.75</v>
      </c>
      <c r="J122" s="27" t="s">
        <v>20</v>
      </c>
      <c r="K122" s="24" t="s">
        <v>19</v>
      </c>
      <c r="L122" s="36">
        <v>0.75</v>
      </c>
      <c r="M122" s="27" t="s">
        <v>21</v>
      </c>
      <c r="N122" s="29"/>
    </row>
    <row r="123" spans="1:14">
      <c r="A123" s="35">
        <v>150</v>
      </c>
      <c r="B123" s="29" t="s">
        <v>160</v>
      </c>
      <c r="C123" s="29" t="s">
        <v>172</v>
      </c>
      <c r="D123" s="29" t="s">
        <v>23</v>
      </c>
      <c r="E123" s="30" t="s">
        <v>34</v>
      </c>
      <c r="F123" s="36">
        <v>0.5</v>
      </c>
      <c r="G123" s="26" t="s">
        <v>18</v>
      </c>
      <c r="H123" s="24" t="s">
        <v>19</v>
      </c>
      <c r="I123" s="36">
        <v>0.75</v>
      </c>
      <c r="J123" s="27" t="s">
        <v>20</v>
      </c>
      <c r="K123" s="24" t="s">
        <v>19</v>
      </c>
      <c r="L123" s="36">
        <v>0.75</v>
      </c>
      <c r="M123" s="27" t="s">
        <v>21</v>
      </c>
      <c r="N123" s="29"/>
    </row>
    <row r="124" spans="1:14">
      <c r="A124" s="35">
        <v>151</v>
      </c>
      <c r="B124" s="29" t="s">
        <v>160</v>
      </c>
      <c r="C124" s="29" t="s">
        <v>173</v>
      </c>
      <c r="D124" s="29" t="s">
        <v>23</v>
      </c>
      <c r="E124" s="30" t="s">
        <v>34</v>
      </c>
      <c r="F124" s="36">
        <v>0.5</v>
      </c>
      <c r="G124" s="26" t="s">
        <v>18</v>
      </c>
      <c r="H124" s="24" t="s">
        <v>19</v>
      </c>
      <c r="I124" s="36">
        <v>0.75</v>
      </c>
      <c r="J124" s="27" t="s">
        <v>20</v>
      </c>
      <c r="K124" s="24" t="s">
        <v>19</v>
      </c>
      <c r="L124" s="36">
        <v>0.75</v>
      </c>
      <c r="M124" s="27" t="s">
        <v>21</v>
      </c>
      <c r="N124" s="29"/>
    </row>
    <row r="125" spans="1:14">
      <c r="A125" s="35">
        <v>152</v>
      </c>
      <c r="B125" s="29" t="s">
        <v>160</v>
      </c>
      <c r="C125" s="29" t="s">
        <v>174</v>
      </c>
      <c r="D125" s="29" t="s">
        <v>23</v>
      </c>
      <c r="E125" s="30" t="s">
        <v>34</v>
      </c>
      <c r="F125" s="36">
        <v>0.5</v>
      </c>
      <c r="G125" s="26" t="s">
        <v>18</v>
      </c>
      <c r="H125" s="24" t="s">
        <v>19</v>
      </c>
      <c r="I125" s="36">
        <v>0.75</v>
      </c>
      <c r="J125" s="27" t="s">
        <v>20</v>
      </c>
      <c r="K125" s="24" t="s">
        <v>19</v>
      </c>
      <c r="L125" s="36">
        <v>0.75</v>
      </c>
      <c r="M125" s="27" t="s">
        <v>21</v>
      </c>
      <c r="N125" s="29"/>
    </row>
    <row r="126" spans="1:14">
      <c r="A126" s="35">
        <v>153</v>
      </c>
      <c r="B126" s="29" t="s">
        <v>160</v>
      </c>
      <c r="C126" s="29" t="s">
        <v>175</v>
      </c>
      <c r="D126" s="29" t="s">
        <v>23</v>
      </c>
      <c r="E126" s="30" t="s">
        <v>34</v>
      </c>
      <c r="F126" s="36">
        <v>0.5</v>
      </c>
      <c r="G126" s="26" t="s">
        <v>18</v>
      </c>
      <c r="H126" s="24" t="s">
        <v>19</v>
      </c>
      <c r="I126" s="36">
        <v>0.75</v>
      </c>
      <c r="J126" s="27" t="s">
        <v>20</v>
      </c>
      <c r="K126" s="24" t="s">
        <v>19</v>
      </c>
      <c r="L126" s="36">
        <v>0.75</v>
      </c>
      <c r="M126" s="27" t="s">
        <v>21</v>
      </c>
      <c r="N126" s="29"/>
    </row>
    <row r="127" spans="1:14">
      <c r="A127" s="35">
        <v>154</v>
      </c>
      <c r="B127" s="29" t="s">
        <v>131</v>
      </c>
      <c r="C127" s="29" t="s">
        <v>176</v>
      </c>
      <c r="D127" s="29" t="s">
        <v>16</v>
      </c>
      <c r="E127" s="25" t="s">
        <v>17</v>
      </c>
      <c r="F127" s="36">
        <v>0.75</v>
      </c>
      <c r="G127" s="26" t="s">
        <v>18</v>
      </c>
      <c r="H127" s="41" t="s">
        <v>19</v>
      </c>
      <c r="I127" s="36">
        <v>1</v>
      </c>
      <c r="J127" s="27" t="s">
        <v>21</v>
      </c>
      <c r="K127" s="24"/>
      <c r="L127" s="36">
        <v>1</v>
      </c>
      <c r="M127" s="27" t="s">
        <v>21</v>
      </c>
      <c r="N127" s="29"/>
    </row>
    <row r="128" spans="1:14">
      <c r="A128" s="35">
        <v>155</v>
      </c>
      <c r="B128" s="29" t="s">
        <v>131</v>
      </c>
      <c r="C128" s="29" t="s">
        <v>177</v>
      </c>
      <c r="D128" s="29" t="s">
        <v>63</v>
      </c>
      <c r="E128" s="25" t="s">
        <v>17</v>
      </c>
      <c r="F128" s="36">
        <v>0.5</v>
      </c>
      <c r="G128" s="27" t="s">
        <v>18</v>
      </c>
      <c r="H128" s="41" t="s">
        <v>19</v>
      </c>
      <c r="I128" s="36">
        <v>0.75</v>
      </c>
      <c r="J128" s="27" t="s">
        <v>21</v>
      </c>
      <c r="K128" s="24"/>
      <c r="L128" s="36">
        <v>0.75</v>
      </c>
      <c r="M128" s="27" t="s">
        <v>21</v>
      </c>
      <c r="N128" s="29"/>
    </row>
    <row r="129" spans="1:14">
      <c r="A129" s="35">
        <v>157</v>
      </c>
      <c r="B129" s="29" t="s">
        <v>111</v>
      </c>
      <c r="C129" s="29" t="s">
        <v>178</v>
      </c>
      <c r="D129" s="29" t="s">
        <v>63</v>
      </c>
      <c r="E129" s="25" t="s">
        <v>17</v>
      </c>
      <c r="F129" s="36">
        <v>0.75</v>
      </c>
      <c r="G129" s="26" t="s">
        <v>18</v>
      </c>
      <c r="H129" s="41" t="s">
        <v>19</v>
      </c>
      <c r="I129" s="36">
        <v>1</v>
      </c>
      <c r="J129" s="27" t="s">
        <v>21</v>
      </c>
      <c r="K129" s="24"/>
      <c r="L129" s="36">
        <v>1</v>
      </c>
      <c r="M129" s="27" t="s">
        <v>21</v>
      </c>
      <c r="N129" s="29"/>
    </row>
    <row r="130" spans="1:14">
      <c r="A130" s="35">
        <v>167</v>
      </c>
      <c r="B130" s="29" t="s">
        <v>111</v>
      </c>
      <c r="C130" s="29" t="s">
        <v>179</v>
      </c>
      <c r="D130" s="29" t="s">
        <v>63</v>
      </c>
      <c r="E130" s="25" t="s">
        <v>17</v>
      </c>
      <c r="F130" s="36">
        <v>0.75</v>
      </c>
      <c r="G130" s="27" t="s">
        <v>18</v>
      </c>
      <c r="H130" s="29" t="s">
        <v>19</v>
      </c>
      <c r="I130" s="36">
        <v>1</v>
      </c>
      <c r="J130" s="27" t="s">
        <v>21</v>
      </c>
      <c r="K130" s="24"/>
      <c r="L130" s="36">
        <v>1</v>
      </c>
      <c r="M130" s="27" t="s">
        <v>21</v>
      </c>
      <c r="N130" s="29"/>
    </row>
    <row r="131" spans="1:14">
      <c r="A131" s="35">
        <v>169</v>
      </c>
      <c r="B131" s="29" t="s">
        <v>111</v>
      </c>
      <c r="C131" s="29" t="s">
        <v>180</v>
      </c>
      <c r="D131" s="29" t="s">
        <v>63</v>
      </c>
      <c r="E131" s="32" t="s">
        <v>67</v>
      </c>
      <c r="F131" s="36">
        <v>1</v>
      </c>
      <c r="G131" s="26" t="s">
        <v>18</v>
      </c>
      <c r="H131" s="40" t="s">
        <v>19</v>
      </c>
      <c r="I131" s="36">
        <v>1.5</v>
      </c>
      <c r="J131" s="27" t="s">
        <v>20</v>
      </c>
      <c r="K131" s="24" t="s">
        <v>19</v>
      </c>
      <c r="L131" s="36">
        <v>1.5</v>
      </c>
      <c r="M131" s="27" t="s">
        <v>21</v>
      </c>
      <c r="N131" s="29"/>
    </row>
    <row r="132" spans="1:14">
      <c r="A132" s="35">
        <v>170</v>
      </c>
      <c r="B132" s="29" t="s">
        <v>111</v>
      </c>
      <c r="C132" s="29" t="s">
        <v>181</v>
      </c>
      <c r="D132" s="29" t="s">
        <v>63</v>
      </c>
      <c r="E132" s="32" t="s">
        <v>67</v>
      </c>
      <c r="F132" s="36">
        <v>1</v>
      </c>
      <c r="G132" s="26" t="s">
        <v>18</v>
      </c>
      <c r="H132" s="29" t="s">
        <v>19</v>
      </c>
      <c r="I132" s="36">
        <v>1.5</v>
      </c>
      <c r="J132" s="27" t="s">
        <v>41</v>
      </c>
      <c r="K132" s="24" t="s">
        <v>19</v>
      </c>
      <c r="L132" s="36">
        <v>1.5</v>
      </c>
      <c r="M132" s="27" t="s">
        <v>21</v>
      </c>
      <c r="N132" s="29"/>
    </row>
    <row r="133" spans="1:14">
      <c r="A133" s="35">
        <v>171</v>
      </c>
      <c r="B133" s="29" t="s">
        <v>111</v>
      </c>
      <c r="C133" s="29" t="s">
        <v>182</v>
      </c>
      <c r="D133" s="29" t="s">
        <v>63</v>
      </c>
      <c r="E133" s="32" t="s">
        <v>67</v>
      </c>
      <c r="F133" s="36">
        <v>1</v>
      </c>
      <c r="G133" s="26" t="s">
        <v>18</v>
      </c>
      <c r="H133" s="29" t="s">
        <v>19</v>
      </c>
      <c r="I133" s="36">
        <v>1.5</v>
      </c>
      <c r="J133" s="27" t="s">
        <v>21</v>
      </c>
      <c r="K133" s="24"/>
      <c r="L133" s="36">
        <v>1.5</v>
      </c>
      <c r="M133" s="27" t="s">
        <v>21</v>
      </c>
      <c r="N133" s="29"/>
    </row>
    <row r="134" spans="1:14">
      <c r="A134" s="35">
        <v>172</v>
      </c>
      <c r="B134" s="29" t="s">
        <v>111</v>
      </c>
      <c r="C134" s="29" t="s">
        <v>183</v>
      </c>
      <c r="D134" s="29" t="s">
        <v>63</v>
      </c>
      <c r="E134" s="32" t="s">
        <v>67</v>
      </c>
      <c r="F134" s="36">
        <v>1</v>
      </c>
      <c r="G134" s="26" t="s">
        <v>18</v>
      </c>
      <c r="H134" s="41" t="s">
        <v>19</v>
      </c>
      <c r="I134" s="36">
        <v>1.5</v>
      </c>
      <c r="J134" s="27" t="s">
        <v>21</v>
      </c>
      <c r="K134" s="24"/>
      <c r="L134" s="36">
        <v>1.5</v>
      </c>
      <c r="M134" s="27" t="s">
        <v>21</v>
      </c>
      <c r="N134" s="29"/>
    </row>
    <row r="135" spans="1:14">
      <c r="A135" s="35">
        <v>173</v>
      </c>
      <c r="B135" s="29" t="s">
        <v>111</v>
      </c>
      <c r="C135" s="29" t="s">
        <v>184</v>
      </c>
      <c r="D135" s="29" t="s">
        <v>63</v>
      </c>
      <c r="E135" s="32" t="s">
        <v>67</v>
      </c>
      <c r="F135" s="36">
        <v>1</v>
      </c>
      <c r="G135" s="26" t="s">
        <v>18</v>
      </c>
      <c r="H135" s="29" t="s">
        <v>19</v>
      </c>
      <c r="I135" s="36">
        <v>1.5</v>
      </c>
      <c r="J135" s="27" t="s">
        <v>20</v>
      </c>
      <c r="K135" s="24" t="s">
        <v>19</v>
      </c>
      <c r="L135" s="36">
        <v>1.5</v>
      </c>
      <c r="M135" s="27" t="s">
        <v>21</v>
      </c>
      <c r="N135" s="29"/>
    </row>
    <row r="136" spans="1:14">
      <c r="A136" s="4">
        <v>175</v>
      </c>
      <c r="B136" t="s">
        <v>185</v>
      </c>
      <c r="C136" t="s">
        <v>186</v>
      </c>
      <c r="D136" t="s">
        <v>16</v>
      </c>
      <c r="E136" s="2" t="s">
        <v>34</v>
      </c>
      <c r="F136" s="36">
        <v>1</v>
      </c>
      <c r="G136" s="1" t="s">
        <v>18</v>
      </c>
      <c r="H136" s="40" t="s">
        <v>19</v>
      </c>
      <c r="I136" s="37">
        <v>2</v>
      </c>
      <c r="J136" s="1" t="s">
        <v>20</v>
      </c>
      <c r="K136" s="24" t="s">
        <v>19</v>
      </c>
      <c r="L136" s="36">
        <v>2</v>
      </c>
      <c r="M136" s="27" t="s">
        <v>21</v>
      </c>
      <c r="N136" s="29"/>
    </row>
    <row r="137" spans="1:14">
      <c r="A137" s="4">
        <v>176</v>
      </c>
      <c r="B137" t="s">
        <v>185</v>
      </c>
      <c r="C137" t="s">
        <v>187</v>
      </c>
      <c r="D137" t="s">
        <v>16</v>
      </c>
      <c r="E137" s="2" t="s">
        <v>34</v>
      </c>
      <c r="F137" s="36">
        <v>1</v>
      </c>
      <c r="G137" s="1" t="s">
        <v>18</v>
      </c>
      <c r="H137" s="40" t="s">
        <v>19</v>
      </c>
      <c r="I137" s="37">
        <v>2</v>
      </c>
      <c r="J137" s="1" t="s">
        <v>20</v>
      </c>
      <c r="K137" s="24" t="s">
        <v>19</v>
      </c>
      <c r="L137" s="36">
        <v>2</v>
      </c>
      <c r="M137" s="27" t="s">
        <v>21</v>
      </c>
      <c r="N137" s="29"/>
    </row>
    <row r="138" spans="1:14">
      <c r="A138" s="4">
        <v>177</v>
      </c>
      <c r="B138" t="s">
        <v>185</v>
      </c>
      <c r="C138" t="s">
        <v>188</v>
      </c>
      <c r="D138" t="s">
        <v>16</v>
      </c>
      <c r="E138" s="2" t="s">
        <v>34</v>
      </c>
      <c r="F138" s="36">
        <v>1</v>
      </c>
      <c r="G138" s="1" t="s">
        <v>18</v>
      </c>
      <c r="H138" s="40" t="s">
        <v>19</v>
      </c>
      <c r="I138" s="37">
        <v>2</v>
      </c>
      <c r="J138" s="1" t="s">
        <v>20</v>
      </c>
      <c r="K138" s="24" t="s">
        <v>19</v>
      </c>
      <c r="L138" s="36">
        <v>2</v>
      </c>
      <c r="M138" s="27" t="s">
        <v>21</v>
      </c>
      <c r="N138" s="29"/>
    </row>
    <row r="139" spans="1:14">
      <c r="A139" s="40" t="s">
        <v>189</v>
      </c>
      <c r="B139" s="40" t="s">
        <v>190</v>
      </c>
      <c r="C139" s="40" t="s">
        <v>191</v>
      </c>
      <c r="D139" s="40" t="s">
        <v>190</v>
      </c>
      <c r="E139" s="32" t="s">
        <v>67</v>
      </c>
      <c r="F139" s="36" t="s">
        <v>192</v>
      </c>
      <c r="G139" s="27" t="s">
        <v>193</v>
      </c>
      <c r="H139" s="40" t="s">
        <v>70</v>
      </c>
      <c r="I139" s="36" t="s">
        <v>194</v>
      </c>
      <c r="J139" s="33" t="s">
        <v>70</v>
      </c>
      <c r="K139" s="24"/>
      <c r="L139" s="36" t="s">
        <v>194</v>
      </c>
      <c r="M139" s="33" t="s">
        <v>70</v>
      </c>
      <c r="N139" s="29"/>
    </row>
    <row r="140" spans="1:14">
      <c r="A140" s="40" t="s">
        <v>195</v>
      </c>
      <c r="B140" s="40" t="s">
        <v>111</v>
      </c>
      <c r="C140" s="40" t="s">
        <v>196</v>
      </c>
      <c r="D140" s="40" t="s">
        <v>23</v>
      </c>
      <c r="E140" s="25" t="s">
        <v>17</v>
      </c>
      <c r="F140" s="42">
        <v>0.75</v>
      </c>
      <c r="G140" s="26" t="s">
        <v>18</v>
      </c>
      <c r="H140" s="24" t="s">
        <v>19</v>
      </c>
      <c r="I140" s="36">
        <v>1</v>
      </c>
      <c r="J140" s="27" t="s">
        <v>21</v>
      </c>
      <c r="K140" s="24"/>
      <c r="L140" s="36">
        <v>1</v>
      </c>
      <c r="M140" s="27" t="s">
        <v>21</v>
      </c>
    </row>
    <row r="141" spans="1:14">
      <c r="A141" s="40" t="s">
        <v>197</v>
      </c>
      <c r="B141" s="40" t="s">
        <v>111</v>
      </c>
      <c r="C141" s="40" t="s">
        <v>198</v>
      </c>
      <c r="D141" s="40" t="s">
        <v>63</v>
      </c>
      <c r="E141" s="25" t="s">
        <v>17</v>
      </c>
      <c r="F141" s="42">
        <v>0.75</v>
      </c>
      <c r="G141" s="27" t="s">
        <v>18</v>
      </c>
      <c r="H141" s="24" t="s">
        <v>19</v>
      </c>
      <c r="I141" s="36">
        <v>1</v>
      </c>
      <c r="J141" s="27" t="s">
        <v>21</v>
      </c>
      <c r="K141" s="24"/>
      <c r="L141" s="36">
        <v>1</v>
      </c>
      <c r="M141" s="27" t="s">
        <v>21</v>
      </c>
    </row>
    <row r="142" spans="1:14">
      <c r="A142" s="4"/>
      <c r="E142" s="3"/>
      <c r="F142" s="3"/>
      <c r="G142" s="1"/>
      <c r="J142" s="1"/>
      <c r="L142" s="1"/>
    </row>
    <row r="143" spans="1:14">
      <c r="A143" s="4"/>
      <c r="E143" s="3"/>
      <c r="F143" s="3"/>
      <c r="G143" s="1"/>
      <c r="J143" s="1"/>
      <c r="L143" s="1"/>
    </row>
    <row r="144" spans="1:14">
      <c r="A144" s="4"/>
      <c r="E144" s="3"/>
      <c r="F144" s="3"/>
      <c r="G144" s="1"/>
      <c r="J144" s="1"/>
      <c r="L144" s="1"/>
    </row>
  </sheetData>
  <autoFilter ref="A1:M144" xr:uid="{00000000-0001-0000-0000-000000000000}">
    <sortState xmlns:xlrd2="http://schemas.microsoft.com/office/spreadsheetml/2017/richdata2" ref="A2:M144">
      <sortCondition ref="A1:A144"/>
    </sortState>
  </autoFilter>
  <conditionalFormatting sqref="E140:F144 E2:E139">
    <cfRule type="cellIs" dxfId="19" priority="82" operator="equal">
      <formula>"High"</formula>
    </cfRule>
    <cfRule type="cellIs" dxfId="18" priority="83" operator="equal">
      <formula>"Medium"</formula>
    </cfRule>
    <cfRule type="cellIs" dxfId="17" priority="84" operator="equal">
      <formula>"Low"</formula>
    </cfRule>
  </conditionalFormatting>
  <conditionalFormatting sqref="G2:G144 M2:M141">
    <cfRule type="cellIs" dxfId="16" priority="85" operator="equal">
      <formula>"Completed"</formula>
    </cfRule>
    <cfRule type="cellIs" dxfId="15" priority="86" operator="equal">
      <formula>"Completed - Needs Fix"</formula>
    </cfRule>
    <cfRule type="cellIs" dxfId="14" priority="87" operator="equal">
      <formula>"Ready to Build"</formula>
    </cfRule>
    <cfRule type="cellIs" dxfId="13" priority="88" operator="equal">
      <formula>"In Progress (Partial)"</formula>
    </cfRule>
    <cfRule type="cellIs" dxfId="12" priority="89" operator="equal">
      <formula>"Not Started"</formula>
    </cfRule>
    <cfRule type="cellIs" dxfId="11" priority="90" operator="equal">
      <formula>"Upcoming (Dashboard)"</formula>
    </cfRule>
    <cfRule type="cellIs" dxfId="10" priority="91" operator="equal">
      <formula>"Upcoming (Config)"</formula>
    </cfRule>
    <cfRule type="cellIs" dxfId="9" priority="92" operator="equal">
      <formula>"Upcoming (Mobile)"</formula>
    </cfRule>
    <cfRule type="cellIs" dxfId="8" priority="93" operator="equal">
      <formula>"Upcoming"</formula>
    </cfRule>
  </conditionalFormatting>
  <conditionalFormatting sqref="J2:J144 L2:L144">
    <cfRule type="cellIs" dxfId="7" priority="94" operator="equal">
      <formula>"Not Started"</formula>
    </cfRule>
    <cfRule type="cellIs" dxfId="6" priority="95" operator="equal">
      <formula>"Pending"</formula>
    </cfRule>
    <cfRule type="cellIs" dxfId="5" priority="96" operator="equal">
      <formula>"In Testing"</formula>
    </cfRule>
    <cfRule type="cellIs" dxfId="4" priority="97" operator="equal">
      <formula>"Passed"</formula>
    </cfRule>
    <cfRule type="cellIs" dxfId="3" priority="98" operator="equal">
      <formula>"Failed"</formula>
    </cfRule>
    <cfRule type="cellIs" dxfId="2" priority="99" operator="equal">
      <formula>"Issues Found"</formula>
    </cfRule>
    <cfRule type="cellIs" dxfId="1" priority="100" operator="equal">
      <formula>"Blocked - Awaiting Fix"</formula>
    </cfRule>
    <cfRule type="cellIs" dxfId="0" priority="101" operator="equal">
      <formula>"N/A (Upcoming)"</formula>
    </cfRule>
  </conditionalFormatting>
  <dataValidations count="5">
    <dataValidation type="list" allowBlank="1" sqref="F140:F144 E2:E144" xr:uid="{00000000-0002-0000-0000-000000000000}">
      <formula1>"High,Medium,Low"</formula1>
    </dataValidation>
    <dataValidation type="list" allowBlank="1" sqref="M142:M144 K142:K144 H130:H133 H142:H144 H16:H18 H52:H56 H39 H117 H41:H42 H103:H114 H44:H45 H32:H37 H23 H63:H101 H25 H13 H10 H6 H135:H139" xr:uid="{00000000-0002-0000-0000-000002000000}">
      <formula1>"Karthick,Saranya,Kavin,Sangeetha"</formula1>
    </dataValidation>
    <dataValidation type="list" allowBlank="1" sqref="G2:G144 M2:M141" xr:uid="{00000000-0002-0000-0000-000001000000}">
      <formula1>"Completed,Completed - Needs Fix,Ready to Build,In Progress (Partial),Not Started,Upcoming (Dashboard),Upcoming (Config),Upcoming (Mobile),Upcoming"</formula1>
    </dataValidation>
    <dataValidation type="list" allowBlank="1" sqref="L142:L144 J2:J144" xr:uid="{00000000-0002-0000-0000-000003000000}">
      <formula1>"Not Started,Pending,In Testing,Passed,Failed,Issues Found,Blocked - Awaiting Fix,N/A (Upcoming)"</formula1>
    </dataValidation>
    <dataValidation allowBlank="1" showInputMessage="1" showErrorMessage="1" sqref="I1:I1048576 L2:L141" xr:uid="{3846D518-984A-4309-BE3A-6004B14C4B9D}"/>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607F40C-3C54-4F61-ADE2-219D41CE83B2}">
          <x14:formula1>
            <xm:f>Lookups!$C$2:$C$7</xm:f>
          </x14:formula1>
          <xm:sqref>H140:H141 H2:H5 H7:H9 H11:H12 H14:H15 H38 H40 H46:H51 H102 H115:H116 H118:H129 H134 H19:H22 H24 H26:H31 H43 H57:H62 K2:K141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activeCell="C2" sqref="C2:C7"/>
    </sheetView>
  </sheetViews>
  <sheetFormatPr defaultRowHeight="14.45"/>
  <cols>
    <col min="1" max="1" width="22.42578125" customWidth="1"/>
    <col min="2" max="2" width="20.7109375" customWidth="1"/>
    <col min="3" max="3" width="14.28515625" customWidth="1"/>
  </cols>
  <sheetData>
    <row r="1" spans="1:4">
      <c r="A1" t="s">
        <v>6</v>
      </c>
      <c r="B1" t="s">
        <v>199</v>
      </c>
      <c r="C1" t="s">
        <v>200</v>
      </c>
      <c r="D1" t="s">
        <v>4</v>
      </c>
    </row>
    <row r="2" spans="1:4">
      <c r="A2" t="s">
        <v>18</v>
      </c>
      <c r="B2" t="s">
        <v>21</v>
      </c>
      <c r="C2" t="s">
        <v>19</v>
      </c>
      <c r="D2" t="s">
        <v>34</v>
      </c>
    </row>
    <row r="3" spans="1:4">
      <c r="A3" t="s">
        <v>201</v>
      </c>
      <c r="B3" t="s">
        <v>35</v>
      </c>
      <c r="C3" t="s">
        <v>24</v>
      </c>
      <c r="D3" t="s">
        <v>17</v>
      </c>
    </row>
    <row r="4" spans="1:4">
      <c r="A4" t="s">
        <v>202</v>
      </c>
      <c r="B4" t="s">
        <v>41</v>
      </c>
      <c r="C4" t="s">
        <v>37</v>
      </c>
      <c r="D4" t="s">
        <v>67</v>
      </c>
    </row>
    <row r="5" spans="1:4">
      <c r="A5" t="s">
        <v>144</v>
      </c>
      <c r="B5" t="s">
        <v>20</v>
      </c>
      <c r="C5" t="s">
        <v>203</v>
      </c>
    </row>
    <row r="6" spans="1:4">
      <c r="A6" t="s">
        <v>21</v>
      </c>
      <c r="B6" t="s">
        <v>204</v>
      </c>
      <c r="C6" t="s">
        <v>98</v>
      </c>
    </row>
    <row r="7" spans="1:4">
      <c r="A7" t="s">
        <v>205</v>
      </c>
      <c r="B7" t="s">
        <v>206</v>
      </c>
      <c r="C7" t="s">
        <v>207</v>
      </c>
    </row>
    <row r="8" spans="1:4">
      <c r="A8" t="s">
        <v>208</v>
      </c>
      <c r="B8" t="s">
        <v>209</v>
      </c>
    </row>
    <row r="9" spans="1:4">
      <c r="A9" t="s">
        <v>193</v>
      </c>
      <c r="B9" t="s">
        <v>70</v>
      </c>
    </row>
    <row r="10" spans="1:4">
      <c r="A10" t="s">
        <v>125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6"/>
  <sheetViews>
    <sheetView workbookViewId="0">
      <selection activeCell="H5" sqref="H5"/>
    </sheetView>
  </sheetViews>
  <sheetFormatPr defaultRowHeight="14.45"/>
  <cols>
    <col min="1" max="1" width="21.42578125" customWidth="1"/>
    <col min="2" max="2" width="20.7109375" customWidth="1"/>
    <col min="3" max="3" width="18.140625" customWidth="1"/>
    <col min="4" max="4" width="17.140625" customWidth="1"/>
    <col min="5" max="5" width="15.5703125" customWidth="1"/>
    <col min="6" max="6" width="15.42578125" customWidth="1"/>
    <col min="7" max="7" width="20.28515625" customWidth="1"/>
    <col min="8" max="8" width="16.5703125" customWidth="1"/>
    <col min="9" max="9" width="16" customWidth="1"/>
  </cols>
  <sheetData>
    <row r="1" spans="1:11" ht="23.45">
      <c r="A1" s="5" t="s">
        <v>210</v>
      </c>
    </row>
    <row r="2" spans="1:11">
      <c r="A2" s="6" t="s">
        <v>211</v>
      </c>
    </row>
    <row r="4" spans="1:11">
      <c r="A4" s="7" t="s">
        <v>212</v>
      </c>
      <c r="B4" s="7" t="s">
        <v>18</v>
      </c>
      <c r="C4" s="7" t="s">
        <v>213</v>
      </c>
      <c r="D4" s="7" t="s">
        <v>214</v>
      </c>
      <c r="E4" s="7" t="s">
        <v>202</v>
      </c>
      <c r="F4" s="7" t="s">
        <v>21</v>
      </c>
      <c r="G4" s="7" t="s">
        <v>125</v>
      </c>
      <c r="H4" s="7" t="s">
        <v>215</v>
      </c>
      <c r="I4" s="7" t="s">
        <v>216</v>
      </c>
    </row>
    <row r="5" spans="1:11" ht="31.15">
      <c r="A5" s="8">
        <f>COUNTA('Screen Status'!A2:A144)</f>
        <v>140</v>
      </c>
      <c r="B5" s="9">
        <f>COUNTIF('Screen Status'!G2:G144,"Completed")</f>
        <v>131</v>
      </c>
      <c r="C5" s="10">
        <f>COUNTIF('Screen Status'!G2:G144,"Completed - Needs Fix")</f>
        <v>0</v>
      </c>
      <c r="D5" s="11">
        <f>COUNTIF('Screen Status'!G2:G144,"In Progress (Partial)")</f>
        <v>1</v>
      </c>
      <c r="E5" s="12">
        <f>COUNTIF('Screen Status'!G2:G144,"Ready to Build")</f>
        <v>0</v>
      </c>
      <c r="F5" s="13">
        <f>COUNTIF('Screen Status'!G2:G144,"Not Started")</f>
        <v>1</v>
      </c>
      <c r="G5" s="14">
        <f>COUNTIF('Screen Status'!G2:G144,"Upcoming*")</f>
        <v>7</v>
      </c>
      <c r="H5" s="15">
        <f>COUNTIF('Screen Status'!J2:J144,"Passed")</f>
        <v>61</v>
      </c>
      <c r="I5" s="16">
        <f>COUNTIF('Screen Status'!L2:L144,"Passed")</f>
        <v>0</v>
      </c>
    </row>
    <row r="6" spans="1:11" ht="15"/>
    <row r="7" spans="1:11" ht="15.6" customHeight="1">
      <c r="A7" s="43" t="s">
        <v>217</v>
      </c>
      <c r="B7" s="43"/>
      <c r="C7" s="43"/>
      <c r="D7" s="43"/>
      <c r="E7" s="43"/>
      <c r="F7" s="43"/>
      <c r="G7" s="43"/>
      <c r="H7" s="43"/>
      <c r="I7" s="43"/>
      <c r="J7" s="43"/>
      <c r="K7" s="43"/>
    </row>
    <row r="8" spans="1:11" ht="27">
      <c r="A8" s="17" t="s">
        <v>1</v>
      </c>
      <c r="B8" s="17" t="s">
        <v>18</v>
      </c>
      <c r="C8" s="17" t="s">
        <v>201</v>
      </c>
      <c r="D8" s="17" t="s">
        <v>202</v>
      </c>
      <c r="E8" s="17" t="s">
        <v>144</v>
      </c>
      <c r="F8" s="17" t="s">
        <v>21</v>
      </c>
      <c r="G8" s="17" t="s">
        <v>205</v>
      </c>
      <c r="H8" s="17" t="s">
        <v>208</v>
      </c>
      <c r="I8" s="17" t="s">
        <v>193</v>
      </c>
      <c r="J8" s="17" t="s">
        <v>125</v>
      </c>
      <c r="K8" s="17" t="s">
        <v>212</v>
      </c>
    </row>
    <row r="9" spans="1:11">
      <c r="A9" s="18" t="s">
        <v>123</v>
      </c>
      <c r="B9" s="19">
        <f>COUNTIFS('Screen Status'!B2:B144,"AI Intelligence",'Screen Status'!G2:G144,"Completed")</f>
        <v>0</v>
      </c>
      <c r="C9" s="19">
        <f>COUNTIFS('Screen Status'!B2:B144,"AI Intelligence",'Screen Status'!G2:G144,"Completed - Needs Fix")</f>
        <v>0</v>
      </c>
      <c r="D9" s="19">
        <f>COUNTIFS('Screen Status'!B2:B144,"AI Intelligence",'Screen Status'!G2:G144,"Ready to Build")</f>
        <v>0</v>
      </c>
      <c r="E9" s="19">
        <f>COUNTIFS('Screen Status'!B2:B144,"AI Intelligence",'Screen Status'!G2:G144,"In Progress (Partial)")</f>
        <v>0</v>
      </c>
      <c r="F9" s="19">
        <f>COUNTIFS('Screen Status'!B2:B144,"AI Intelligence",'Screen Status'!G2:G144,"Not Started")</f>
        <v>0</v>
      </c>
      <c r="G9" s="19">
        <f>COUNTIFS('Screen Status'!B2:B144,"AI Intelligence",'Screen Status'!G2:G144,"Upcoming (Dashboard)")</f>
        <v>0</v>
      </c>
      <c r="H9" s="19">
        <f>COUNTIFS('Screen Status'!B2:B144,"AI Intelligence",'Screen Status'!G2:G144,"Upcoming (Config)")</f>
        <v>0</v>
      </c>
      <c r="I9" s="19">
        <f>COUNTIFS('Screen Status'!B2:B144,"AI Intelligence",'Screen Status'!G2:G144,"Upcoming (Mobile)")</f>
        <v>0</v>
      </c>
      <c r="J9" s="19">
        <f>COUNTIFS('Screen Status'!B2:B144,"AI Intelligence",'Screen Status'!G2:G144,"Upcoming")</f>
        <v>6</v>
      </c>
      <c r="K9" s="20">
        <f>COUNTIF('Screen Status'!B2:B144,"AI Intelligence")</f>
        <v>6</v>
      </c>
    </row>
    <row r="10" spans="1:11">
      <c r="A10" s="18" t="s">
        <v>105</v>
      </c>
      <c r="B10" s="19">
        <f>COUNTIFS('Screen Status'!B2:B144,"Administration",'Screen Status'!G2:G144,"Completed")</f>
        <v>6</v>
      </c>
      <c r="C10" s="19">
        <f>COUNTIFS('Screen Status'!B2:B144,"Administration",'Screen Status'!G2:G144,"Completed - Needs Fix")</f>
        <v>0</v>
      </c>
      <c r="D10" s="19">
        <f>COUNTIFS('Screen Status'!B2:B144,"Administration",'Screen Status'!G2:G144,"Ready to Build")</f>
        <v>0</v>
      </c>
      <c r="E10" s="19">
        <f>COUNTIFS('Screen Status'!B2:B144,"Administration",'Screen Status'!G2:G144,"In Progress (Partial)")</f>
        <v>0</v>
      </c>
      <c r="F10" s="19">
        <f>COUNTIFS('Screen Status'!B2:B144,"Administration",'Screen Status'!G2:G144,"Not Started")</f>
        <v>0</v>
      </c>
      <c r="G10" s="19">
        <f>COUNTIFS('Screen Status'!B2:B144,"Administration",'Screen Status'!G2:G144,"Upcoming (Dashboard)")</f>
        <v>0</v>
      </c>
      <c r="H10" s="19">
        <f>COUNTIFS('Screen Status'!B2:B144,"Administration",'Screen Status'!G2:G144,"Upcoming (Config)")</f>
        <v>0</v>
      </c>
      <c r="I10" s="19">
        <f>COUNTIFS('Screen Status'!B2:B144,"Administration",'Screen Status'!G2:G144,"Upcoming (Mobile)")</f>
        <v>0</v>
      </c>
      <c r="J10" s="19">
        <f>COUNTIFS('Screen Status'!B2:B144,"Administration",'Screen Status'!G2:G144,"Upcoming")</f>
        <v>0</v>
      </c>
      <c r="K10" s="20">
        <f>COUNTIF('Screen Status'!B2:B144,"Administration")</f>
        <v>6</v>
      </c>
    </row>
    <row r="11" spans="1:11">
      <c r="A11" s="18" t="s">
        <v>82</v>
      </c>
      <c r="B11" s="19">
        <f>COUNTIFS('Screen Status'!B2:B144,"Case Management",'Screen Status'!G2:G144,"Completed")</f>
        <v>4</v>
      </c>
      <c r="C11" s="19">
        <f>COUNTIFS('Screen Status'!B2:B144,"Case Management",'Screen Status'!G2:G144,"Completed - Needs Fix")</f>
        <v>0</v>
      </c>
      <c r="D11" s="19">
        <f>COUNTIFS('Screen Status'!B2:B144,"Case Management",'Screen Status'!G2:G144,"Ready to Build")</f>
        <v>0</v>
      </c>
      <c r="E11" s="19">
        <f>COUNTIFS('Screen Status'!B2:B144,"Case Management",'Screen Status'!G2:G144,"In Progress (Partial)")</f>
        <v>0</v>
      </c>
      <c r="F11" s="19">
        <f>COUNTIFS('Screen Status'!B2:B144,"Case Management",'Screen Status'!G2:G144,"Not Started")</f>
        <v>0</v>
      </c>
      <c r="G11" s="19">
        <f>COUNTIFS('Screen Status'!B2:B144,"Case Management",'Screen Status'!G2:G144,"Upcoming (Dashboard)")</f>
        <v>0</v>
      </c>
      <c r="H11" s="19">
        <f>COUNTIFS('Screen Status'!B2:B144,"Case Management",'Screen Status'!G2:G144,"Upcoming (Config)")</f>
        <v>0</v>
      </c>
      <c r="I11" s="19">
        <f>COUNTIFS('Screen Status'!B2:B144,"Case Management",'Screen Status'!G2:G144,"Upcoming (Mobile)")</f>
        <v>0</v>
      </c>
      <c r="J11" s="19">
        <f>COUNTIFS('Screen Status'!B2:B144,"Case Management",'Screen Status'!G2:G144,"Upcoming")</f>
        <v>0</v>
      </c>
      <c r="K11" s="20">
        <f>COUNTIF('Screen Status'!B2:B144,"Case Management")</f>
        <v>4</v>
      </c>
    </row>
    <row r="12" spans="1:11">
      <c r="A12" s="18" t="s">
        <v>50</v>
      </c>
      <c r="B12" s="19">
        <f>COUNTIFS('Screen Status'!B2:B144,"Communication",'Screen Status'!G2:G144,"Completed")</f>
        <v>17</v>
      </c>
      <c r="C12" s="19">
        <f>COUNTIFS('Screen Status'!B2:B144,"Communication",'Screen Status'!G2:G144,"Completed - Needs Fix")</f>
        <v>0</v>
      </c>
      <c r="D12" s="19">
        <f>COUNTIFS('Screen Status'!B2:B144,"Communication",'Screen Status'!G2:G144,"Ready to Build")</f>
        <v>0</v>
      </c>
      <c r="E12" s="19">
        <f>COUNTIFS('Screen Status'!B2:B144,"Communication",'Screen Status'!G2:G144,"In Progress (Partial)")</f>
        <v>0</v>
      </c>
      <c r="F12" s="19">
        <f>COUNTIFS('Screen Status'!B2:B144,"Communication",'Screen Status'!G2:G144,"Not Started")</f>
        <v>0</v>
      </c>
      <c r="G12" s="19">
        <f>COUNTIFS('Screen Status'!B2:B144,"Communication",'Screen Status'!G2:G144,"Upcoming (Dashboard)")</f>
        <v>0</v>
      </c>
      <c r="H12" s="19">
        <f>COUNTIFS('Screen Status'!B2:B144,"Communication",'Screen Status'!G2:G144,"Upcoming (Config)")</f>
        <v>0</v>
      </c>
      <c r="I12" s="19">
        <f>COUNTIFS('Screen Status'!B2:B144,"Communication",'Screen Status'!G2:G144,"Upcoming (Mobile)")</f>
        <v>0</v>
      </c>
      <c r="J12" s="19">
        <f>COUNTIFS('Screen Status'!B2:B144,"Communication",'Screen Status'!G2:G144,"Upcoming")</f>
        <v>0</v>
      </c>
      <c r="K12" s="20">
        <f>COUNTIF('Screen Status'!B2:B144,"Communication")</f>
        <v>17</v>
      </c>
    </row>
    <row r="13" spans="1:11">
      <c r="A13" s="18" t="s">
        <v>43</v>
      </c>
      <c r="B13" s="19">
        <f>COUNTIFS('Screen Status'!B2:B144,"Contacts",'Screen Status'!G2:G144,"Completed")</f>
        <v>8</v>
      </c>
      <c r="C13" s="19">
        <f>COUNTIFS('Screen Status'!B2:B144,"Contacts",'Screen Status'!G2:G144,"Completed - Needs Fix")</f>
        <v>0</v>
      </c>
      <c r="D13" s="19">
        <f>COUNTIFS('Screen Status'!B2:B144,"Contacts",'Screen Status'!G2:G144,"Ready to Build")</f>
        <v>0</v>
      </c>
      <c r="E13" s="19">
        <f>COUNTIFS('Screen Status'!B2:B144,"Contacts",'Screen Status'!G2:G144,"In Progress (Partial)")</f>
        <v>0</v>
      </c>
      <c r="F13" s="19">
        <f>COUNTIFS('Screen Status'!B2:B144,"Contacts",'Screen Status'!G2:G144,"Not Started")</f>
        <v>0</v>
      </c>
      <c r="G13" s="19">
        <f>COUNTIFS('Screen Status'!B2:B144,"Contacts",'Screen Status'!G2:G144,"Upcoming (Dashboard)")</f>
        <v>0</v>
      </c>
      <c r="H13" s="19">
        <f>COUNTIFS('Screen Status'!B2:B144,"Contacts",'Screen Status'!G2:G144,"Upcoming (Config)")</f>
        <v>0</v>
      </c>
      <c r="I13" s="19">
        <f>COUNTIFS('Screen Status'!B2:B144,"Contacts",'Screen Status'!G2:G144,"Upcoming (Mobile)")</f>
        <v>0</v>
      </c>
      <c r="J13" s="19">
        <f>COUNTIFS('Screen Status'!B2:B144,"Contacts",'Screen Status'!G2:G144,"Upcoming")</f>
        <v>0</v>
      </c>
      <c r="K13" s="20">
        <f>COUNTIF('Screen Status'!B2:B144,"Contacts")</f>
        <v>8</v>
      </c>
    </row>
    <row r="14" spans="1:11">
      <c r="A14" s="18" t="s">
        <v>101</v>
      </c>
      <c r="B14" s="19">
        <f>COUNTIFS('Screen Status'!B2:B144,"Field Collection",'Screen Status'!G2:G144,"Completed")</f>
        <v>6</v>
      </c>
      <c r="C14" s="19">
        <f>COUNTIFS('Screen Status'!B2:B144,"Field Collection",'Screen Status'!G2:G144,"Completed - Needs Fix")</f>
        <v>0</v>
      </c>
      <c r="D14" s="19">
        <f>COUNTIFS('Screen Status'!B2:B144,"Field Collection",'Screen Status'!G2:G144,"Ready to Build")</f>
        <v>0</v>
      </c>
      <c r="E14" s="19">
        <f>COUNTIFS('Screen Status'!B2:B144,"Field Collection",'Screen Status'!G2:G144,"In Progress (Partial)")</f>
        <v>0</v>
      </c>
      <c r="F14" s="19">
        <f>COUNTIFS('Screen Status'!B2:B144,"Field Collection",'Screen Status'!G2:G144,"Not Started")</f>
        <v>0</v>
      </c>
      <c r="G14" s="19">
        <f>COUNTIFS('Screen Status'!B2:B144,"Field Collection",'Screen Status'!G2:G144,"Upcoming (Dashboard)")</f>
        <v>0</v>
      </c>
      <c r="H14" s="19">
        <f>COUNTIFS('Screen Status'!B2:B144,"Field Collection",'Screen Status'!G2:G144,"Upcoming (Config)")</f>
        <v>0</v>
      </c>
      <c r="I14" s="19">
        <f>COUNTIFS('Screen Status'!B2:B144,"Field Collection",'Screen Status'!G2:G144,"Upcoming (Mobile)")</f>
        <v>0</v>
      </c>
      <c r="J14" s="19">
        <f>COUNTIFS('Screen Status'!B2:B144,"Field Collection",'Screen Status'!G2:G144,"Upcoming")</f>
        <v>0</v>
      </c>
      <c r="K14" s="20">
        <f>COUNTIF('Screen Status'!B2:B144,"Field Collection")</f>
        <v>6</v>
      </c>
    </row>
    <row r="15" spans="1:11">
      <c r="A15" s="18" t="s">
        <v>14</v>
      </c>
      <c r="B15" s="19">
        <f>COUNTIFS('Screen Status'!B2:B144,"Fundraising",'Screen Status'!G2:G144,"Completed")</f>
        <v>18</v>
      </c>
      <c r="C15" s="19">
        <f>COUNTIFS('Screen Status'!B2:B144,"Fundraising",'Screen Status'!G2:G144,"Completed - Needs Fix")</f>
        <v>0</v>
      </c>
      <c r="D15" s="19">
        <f>COUNTIFS('Screen Status'!B2:B144,"Fundraising",'Screen Status'!G2:G144,"Ready to Build")</f>
        <v>0</v>
      </c>
      <c r="E15" s="19">
        <f>COUNTIFS('Screen Status'!B2:B144,"Fundraising",'Screen Status'!G2:G144,"In Progress (Partial)")</f>
        <v>0</v>
      </c>
      <c r="F15" s="19">
        <f>COUNTIFS('Screen Status'!B2:B144,"Fundraising",'Screen Status'!G2:G144,"Not Started")</f>
        <v>0</v>
      </c>
      <c r="G15" s="19">
        <f>COUNTIFS('Screen Status'!B2:B144,"Fundraising",'Screen Status'!G2:G144,"Upcoming (Dashboard)")</f>
        <v>0</v>
      </c>
      <c r="H15" s="19">
        <f>COUNTIFS('Screen Status'!B2:B144,"Fundraising",'Screen Status'!G2:G144,"Upcoming (Config)")</f>
        <v>0</v>
      </c>
      <c r="I15" s="19">
        <f>COUNTIFS('Screen Status'!B2:B144,"Fundraising",'Screen Status'!G2:G144,"Upcoming (Mobile)")</f>
        <v>0</v>
      </c>
      <c r="J15" s="19">
        <f>COUNTIFS('Screen Status'!B2:B144,"Fundraising",'Screen Status'!G2:G144,"Upcoming")</f>
        <v>0</v>
      </c>
      <c r="K15" s="20">
        <f>COUNTIF('Screen Status'!B2:B144,"Fundraising")</f>
        <v>18</v>
      </c>
    </row>
    <row r="16" spans="1:11">
      <c r="A16" s="18" t="s">
        <v>96</v>
      </c>
      <c r="B16" s="19">
        <f>COUNTIFS('Screen Status'!B2:B144,"Grants",'Screen Status'!G2:G144,"Completed")</f>
        <v>3</v>
      </c>
      <c r="C16" s="19">
        <f>COUNTIFS('Screen Status'!B2:B144,"Grants",'Screen Status'!G2:G144,"Completed - Needs Fix")</f>
        <v>0</v>
      </c>
      <c r="D16" s="19">
        <f>COUNTIFS('Screen Status'!B2:B144,"Grants",'Screen Status'!G2:G144,"Ready to Build")</f>
        <v>0</v>
      </c>
      <c r="E16" s="19">
        <f>COUNTIFS('Screen Status'!B2:B144,"Grants",'Screen Status'!G2:G144,"In Progress (Partial)")</f>
        <v>0</v>
      </c>
      <c r="F16" s="19">
        <f>COUNTIFS('Screen Status'!B2:B144,"Grants",'Screen Status'!G2:G144,"Not Started")</f>
        <v>0</v>
      </c>
      <c r="G16" s="19">
        <f>COUNTIFS('Screen Status'!B2:B144,"Grants",'Screen Status'!G2:G144,"Upcoming (Dashboard)")</f>
        <v>0</v>
      </c>
      <c r="H16" s="19">
        <f>COUNTIFS('Screen Status'!B2:B144,"Grants",'Screen Status'!G2:G144,"Upcoming (Config)")</f>
        <v>0</v>
      </c>
      <c r="I16" s="19">
        <f>COUNTIFS('Screen Status'!B2:B144,"Grants",'Screen Status'!G2:G144,"Upcoming (Mobile)")</f>
        <v>0</v>
      </c>
      <c r="J16" s="19">
        <f>COUNTIFS('Screen Status'!B2:B144,"Grants",'Screen Status'!G2:G144,"Upcoming")</f>
        <v>0</v>
      </c>
      <c r="K16" s="20">
        <f>COUNTIF('Screen Status'!B2:B144,"Grants")</f>
        <v>3</v>
      </c>
    </row>
    <row r="17" spans="1:17">
      <c r="A17" s="18" t="s">
        <v>91</v>
      </c>
      <c r="B17" s="19">
        <f>COUNTIFS('Screen Status'!B2:B144,"Membership",'Screen Status'!G2:G144,"Completed")</f>
        <v>4</v>
      </c>
      <c r="C17" s="19">
        <f>COUNTIFS('Screen Status'!B2:B144,"Membership",'Screen Status'!G2:G144,"Completed - Needs Fix")</f>
        <v>0</v>
      </c>
      <c r="D17" s="19">
        <f>COUNTIFS('Screen Status'!B2:B144,"Membership",'Screen Status'!G2:G144,"Ready to Build")</f>
        <v>0</v>
      </c>
      <c r="E17" s="19">
        <f>COUNTIFS('Screen Status'!B2:B144,"Membership",'Screen Status'!G2:G144,"In Progress (Partial)")</f>
        <v>0</v>
      </c>
      <c r="F17" s="19">
        <f>COUNTIFS('Screen Status'!B2:B144,"Membership",'Screen Status'!G2:G144,"Not Started")</f>
        <v>0</v>
      </c>
      <c r="G17" s="19">
        <f>COUNTIFS('Screen Status'!B2:B144,"Membership",'Screen Status'!G2:G144,"Upcoming (Dashboard)")</f>
        <v>0</v>
      </c>
      <c r="H17" s="19">
        <f>COUNTIFS('Screen Status'!B2:B144,"Membership",'Screen Status'!G2:G144,"Upcoming (Config)")</f>
        <v>0</v>
      </c>
      <c r="I17" s="19">
        <f>COUNTIFS('Screen Status'!B2:B144,"Membership",'Screen Status'!G2:G144,"Upcoming (Mobile)")</f>
        <v>0</v>
      </c>
      <c r="J17" s="19">
        <f>COUNTIFS('Screen Status'!B2:B144,"Membership",'Screen Status'!G2:G144,"Upcoming")</f>
        <v>0</v>
      </c>
      <c r="K17" s="20">
        <f>COUNTIF('Screen Status'!B2:B144,"Membership")</f>
        <v>4</v>
      </c>
    </row>
    <row r="18" spans="1:17">
      <c r="A18" s="18" t="s">
        <v>190</v>
      </c>
      <c r="B18" s="19">
        <f>COUNTIFS('Screen Status'!B2:B144,"Mobile",'Screen Status'!G2:G144,"Completed")</f>
        <v>0</v>
      </c>
      <c r="C18" s="19">
        <f>COUNTIFS('Screen Status'!B2:B144,"Mobile",'Screen Status'!G2:G144,"Completed - Needs Fix")</f>
        <v>0</v>
      </c>
      <c r="D18" s="19">
        <f>COUNTIFS('Screen Status'!B2:B144,"Mobile",'Screen Status'!G2:G144,"Ready to Build")</f>
        <v>0</v>
      </c>
      <c r="E18" s="19">
        <f>COUNTIFS('Screen Status'!B2:B144,"Mobile",'Screen Status'!G2:G144,"In Progress (Partial)")</f>
        <v>0</v>
      </c>
      <c r="F18" s="19">
        <f>COUNTIFS('Screen Status'!B2:B144,"Mobile",'Screen Status'!G2:G144,"Not Started")</f>
        <v>0</v>
      </c>
      <c r="G18" s="19">
        <f>COUNTIFS('Screen Status'!B2:B144,"Mobile",'Screen Status'!G2:G144,"Upcoming (Dashboard)")</f>
        <v>0</v>
      </c>
      <c r="H18" s="19">
        <f>COUNTIFS('Screen Status'!B2:B144,"Mobile",'Screen Status'!G2:G144,"Upcoming (Config)")</f>
        <v>0</v>
      </c>
      <c r="I18" s="19">
        <f>COUNTIFS('Screen Status'!B2:B144,"Mobile",'Screen Status'!G2:G144,"Upcoming (Mobile)")</f>
        <v>1</v>
      </c>
      <c r="J18" s="19">
        <f>COUNTIFS('Screen Status'!B2:B144,"Mobile",'Screen Status'!G2:G144,"Upcoming")</f>
        <v>0</v>
      </c>
      <c r="K18" s="20">
        <f>COUNTIF('Screen Status'!B2:B144,"Mobile")</f>
        <v>1</v>
      </c>
    </row>
    <row r="19" spans="1:17">
      <c r="A19" s="18" t="s">
        <v>71</v>
      </c>
      <c r="B19" s="19">
        <f>COUNTIFS('Screen Status'!B2:B144,"Organization",'Screen Status'!G2:G144,"Completed")</f>
        <v>9</v>
      </c>
      <c r="C19" s="19">
        <f>COUNTIFS('Screen Status'!B2:B144,"Organization",'Screen Status'!G2:G144,"Completed - Needs Fix")</f>
        <v>0</v>
      </c>
      <c r="D19" s="19">
        <f>COUNTIFS('Screen Status'!B2:B144,"Organization",'Screen Status'!G2:G144,"Ready to Build")</f>
        <v>0</v>
      </c>
      <c r="E19" s="19">
        <f>COUNTIFS('Screen Status'!B2:B144,"Organization",'Screen Status'!G2:G144,"In Progress (Partial)")</f>
        <v>0</v>
      </c>
      <c r="F19" s="19">
        <f>COUNTIFS('Screen Status'!B2:B144,"Organization",'Screen Status'!G2:G144,"Not Started")</f>
        <v>1</v>
      </c>
      <c r="G19" s="19">
        <f>COUNTIFS('Screen Status'!B2:B144,"Organization",'Screen Status'!G2:G144,"Upcoming (Dashboard)")</f>
        <v>0</v>
      </c>
      <c r="H19" s="19">
        <f>COUNTIFS('Screen Status'!B2:B144,"Organization",'Screen Status'!G2:G144,"Upcoming (Config)")</f>
        <v>0</v>
      </c>
      <c r="I19" s="19">
        <f>COUNTIFS('Screen Status'!B2:B144,"Organization",'Screen Status'!G2:G144,"Upcoming (Mobile)")</f>
        <v>0</v>
      </c>
      <c r="J19" s="19">
        <f>COUNTIFS('Screen Status'!B2:B144,"Organization",'Screen Status'!G2:G144,"Upcoming")</f>
        <v>0</v>
      </c>
      <c r="K19" s="20">
        <f>COUNTIF('Screen Status'!B2:B144,"Organization")</f>
        <v>10</v>
      </c>
    </row>
    <row r="20" spans="1:17">
      <c r="A20" s="18" t="s">
        <v>131</v>
      </c>
      <c r="B20" s="19">
        <f>COUNTIFS('Screen Status'!B2:B144,"Reports",'Screen Status'!G2:G144,"Completed")</f>
        <v>8</v>
      </c>
      <c r="C20" s="19">
        <f>COUNTIFS('Screen Status'!B2:B144,"Reports",'Screen Status'!G2:G144,"Completed - Needs Fix")</f>
        <v>0</v>
      </c>
      <c r="D20" s="19">
        <f>COUNTIFS('Screen Status'!B2:B144,"Reports",'Screen Status'!G2:G144,"Ready to Build")</f>
        <v>0</v>
      </c>
      <c r="E20" s="19">
        <f>COUNTIFS('Screen Status'!B2:B144,"Reports",'Screen Status'!G2:G144,"In Progress (Partial)")</f>
        <v>0</v>
      </c>
      <c r="F20" s="19">
        <f>COUNTIFS('Screen Status'!B2:B144,"Reports",'Screen Status'!G2:G144,"Not Started")</f>
        <v>0</v>
      </c>
      <c r="G20" s="19">
        <f>COUNTIFS('Screen Status'!B2:B144,"Reports",'Screen Status'!G2:G144,"Upcoming (Dashboard)")</f>
        <v>0</v>
      </c>
      <c r="H20" s="19">
        <f>COUNTIFS('Screen Status'!B2:B144,"Reports",'Screen Status'!G2:G144,"Upcoming (Config)")</f>
        <v>0</v>
      </c>
      <c r="I20" s="19">
        <f>COUNTIFS('Screen Status'!B2:B144,"Reports",'Screen Status'!G2:G144,"Upcoming (Mobile)")</f>
        <v>0</v>
      </c>
      <c r="J20" s="19">
        <f>COUNTIFS('Screen Status'!B2:B144,"Reports",'Screen Status'!G2:G144,"Upcoming")</f>
        <v>0</v>
      </c>
      <c r="K20" s="20">
        <f>COUNTIF('Screen Status'!B2:B144,"Reports")</f>
        <v>8</v>
      </c>
    </row>
    <row r="21" spans="1:17">
      <c r="A21" s="18" t="s">
        <v>138</v>
      </c>
      <c r="B21" s="19">
        <f>COUNTIFS('Screen Status'!B2:B144,"Root / Layout",'Screen Status'!G2:G144,"Completed")</f>
        <v>2</v>
      </c>
      <c r="C21" s="19">
        <f>COUNTIFS('Screen Status'!B2:B144,"Root / Layout",'Screen Status'!G2:G144,"Completed - Needs Fix")</f>
        <v>0</v>
      </c>
      <c r="D21" s="19">
        <f>COUNTIFS('Screen Status'!B2:B144,"Root / Layout",'Screen Status'!G2:G144,"Ready to Build")</f>
        <v>0</v>
      </c>
      <c r="E21" s="19">
        <f>COUNTIFS('Screen Status'!B2:B144,"Root / Layout",'Screen Status'!G2:G144,"In Progress (Partial)")</f>
        <v>1</v>
      </c>
      <c r="F21" s="19">
        <f>COUNTIFS('Screen Status'!B2:B144,"Root / Layout",'Screen Status'!G2:G144,"Not Started")</f>
        <v>0</v>
      </c>
      <c r="G21" s="19">
        <f>COUNTIFS('Screen Status'!B2:B144,"Root / Layout",'Screen Status'!G2:G144,"Upcoming (Dashboard)")</f>
        <v>0</v>
      </c>
      <c r="H21" s="19">
        <f>COUNTIFS('Screen Status'!B2:B144,"Root / Layout",'Screen Status'!G2:G144,"Upcoming (Config)")</f>
        <v>0</v>
      </c>
      <c r="I21" s="19">
        <f>COUNTIFS('Screen Status'!B2:B144,"Root / Layout",'Screen Status'!G2:G144,"Upcoming (Mobile)")</f>
        <v>0</v>
      </c>
      <c r="J21" s="19">
        <f>COUNTIFS('Screen Status'!B2:B144,"Root / Layout",'Screen Status'!G2:G144,"Upcoming")</f>
        <v>0</v>
      </c>
      <c r="K21" s="20">
        <f>COUNTIF('Screen Status'!B2:B144,"Root / Layout")</f>
        <v>3</v>
      </c>
    </row>
    <row r="22" spans="1:17">
      <c r="A22" s="18" t="s">
        <v>111</v>
      </c>
      <c r="B22" s="19">
        <f>COUNTIFS('Screen Status'!B2:B144,"Settings",'Screen Status'!G2:G144,"Completed")</f>
        <v>20</v>
      </c>
      <c r="C22" s="19">
        <f>COUNTIFS('Screen Status'!B2:B144,"Settings",'Screen Status'!G2:G144,"Completed - Needs Fix")</f>
        <v>0</v>
      </c>
      <c r="D22" s="19">
        <f>COUNTIFS('Screen Status'!B2:B144,"Settings",'Screen Status'!G2:G144,"Ready to Build")</f>
        <v>0</v>
      </c>
      <c r="E22" s="19">
        <f>COUNTIFS('Screen Status'!B2:B144,"Settings",'Screen Status'!G2:G144,"In Progress (Partial)")</f>
        <v>0</v>
      </c>
      <c r="F22" s="19">
        <f>COUNTIFS('Screen Status'!B2:B144,"Settings",'Screen Status'!G2:G144,"Not Started")</f>
        <v>0</v>
      </c>
      <c r="G22" s="19">
        <f>COUNTIFS('Screen Status'!B2:B144,"Settings",'Screen Status'!G2:G144,"Upcoming (Dashboard)")</f>
        <v>0</v>
      </c>
      <c r="H22" s="19">
        <f>COUNTIFS('Screen Status'!B2:B144,"Settings",'Screen Status'!G2:G144,"Upcoming (Config)")</f>
        <v>0</v>
      </c>
      <c r="I22" s="19">
        <f>COUNTIFS('Screen Status'!B2:B144,"Settings",'Screen Status'!G2:G144,"Upcoming (Mobile)")</f>
        <v>0</v>
      </c>
      <c r="J22" s="19">
        <f>COUNTIFS('Screen Status'!B2:B144,"Settings",'Screen Status'!G2:G144,"Upcoming")</f>
        <v>0</v>
      </c>
      <c r="K22" s="20">
        <f>COUNTIF('Screen Status'!B2:B144,"Settings")</f>
        <v>20</v>
      </c>
    </row>
    <row r="23" spans="1:17">
      <c r="A23" s="18" t="s">
        <v>87</v>
      </c>
      <c r="B23" s="19">
        <f>COUNTIFS('Screen Status'!B2:B144,"Volunteer",'Screen Status'!G2:G144,"Completed")</f>
        <v>4</v>
      </c>
      <c r="C23" s="19">
        <f>COUNTIFS('Screen Status'!B2:B144,"Volunteer",'Screen Status'!G2:G144,"Completed - Needs Fix")</f>
        <v>0</v>
      </c>
      <c r="D23" s="19">
        <f>COUNTIFS('Screen Status'!B2:B144,"Volunteer",'Screen Status'!G2:G144,"Ready to Build")</f>
        <v>0</v>
      </c>
      <c r="E23" s="19">
        <f>COUNTIFS('Screen Status'!B2:B144,"Volunteer",'Screen Status'!G2:G144,"In Progress (Partial)")</f>
        <v>0</v>
      </c>
      <c r="F23" s="19">
        <f>COUNTIFS('Screen Status'!B2:B144,"Volunteer",'Screen Status'!G2:G144,"Not Started")</f>
        <v>0</v>
      </c>
      <c r="G23" s="19">
        <f>COUNTIFS('Screen Status'!B2:B144,"Volunteer",'Screen Status'!G2:G144,"Upcoming (Dashboard)")</f>
        <v>0</v>
      </c>
      <c r="H23" s="19">
        <f>COUNTIFS('Screen Status'!B2:B144,"Volunteer",'Screen Status'!G2:G144,"Upcoming (Config)")</f>
        <v>0</v>
      </c>
      <c r="I23" s="19">
        <f>COUNTIFS('Screen Status'!B2:B144,"Volunteer",'Screen Status'!G2:G144,"Upcoming (Mobile)")</f>
        <v>0</v>
      </c>
      <c r="J23" s="19">
        <f>COUNTIFS('Screen Status'!B2:B144,"Volunteer",'Screen Status'!G2:G144,"Upcoming")</f>
        <v>0</v>
      </c>
      <c r="K23" s="20">
        <f>COUNTIF('Screen Status'!B2:B144,"Volunteer")</f>
        <v>4</v>
      </c>
    </row>
    <row r="24" spans="1:17">
      <c r="A24" s="21" t="s">
        <v>212</v>
      </c>
      <c r="B24" s="20">
        <f>COUNTIF('Screen Status'!G2:G144,"Completed")</f>
        <v>131</v>
      </c>
      <c r="C24" s="20">
        <f>COUNTIF('Screen Status'!G2:G144,"Completed - Needs Fix")</f>
        <v>0</v>
      </c>
      <c r="D24" s="20">
        <f>COUNTIF('Screen Status'!G2:G144,"Ready to Build")</f>
        <v>0</v>
      </c>
      <c r="E24" s="20">
        <f>COUNTIF('Screen Status'!G2:G144,"In Progress (Partial)")</f>
        <v>1</v>
      </c>
      <c r="F24" s="20">
        <f>COUNTIF('Screen Status'!G2:G144,"Not Started")</f>
        <v>1</v>
      </c>
      <c r="G24" s="20">
        <f>COUNTIF('Screen Status'!G2:G144,"Upcoming (Dashboard)")</f>
        <v>0</v>
      </c>
      <c r="H24" s="20">
        <f>COUNTIF('Screen Status'!G2:G144,"Upcoming (Config)")</f>
        <v>0</v>
      </c>
      <c r="I24" s="20">
        <f>COUNTIF('Screen Status'!G2:G144,"Upcoming (Mobile)")</f>
        <v>1</v>
      </c>
      <c r="J24" s="20">
        <f>COUNTIF('Screen Status'!G2:G144,"Upcoming")</f>
        <v>6</v>
      </c>
      <c r="K24" s="20">
        <f>COUNTA('Screen Status'!A2:A144)</f>
        <v>140</v>
      </c>
    </row>
    <row r="25" spans="1:17" ht="15"/>
    <row r="26" spans="1:17" ht="15.6" customHeight="1">
      <c r="A26" s="43" t="s">
        <v>218</v>
      </c>
      <c r="B26" s="43"/>
      <c r="C26" s="43"/>
      <c r="D26" s="43"/>
      <c r="E26" s="43"/>
      <c r="F26" s="43"/>
      <c r="G26" s="43"/>
      <c r="H26" s="43"/>
      <c r="I26" s="43"/>
      <c r="J26" s="43"/>
      <c r="K26" s="43"/>
      <c r="L26" s="43"/>
      <c r="M26" s="43"/>
      <c r="N26" s="43"/>
      <c r="O26" s="43"/>
      <c r="P26" s="43"/>
      <c r="Q26" s="43"/>
    </row>
    <row r="27" spans="1:17" ht="27">
      <c r="A27" s="17" t="s">
        <v>1</v>
      </c>
      <c r="B27" s="17" t="s">
        <v>219</v>
      </c>
      <c r="C27" s="17" t="s">
        <v>220</v>
      </c>
      <c r="D27" s="17" t="s">
        <v>221</v>
      </c>
      <c r="E27" s="17" t="s">
        <v>222</v>
      </c>
      <c r="F27" s="17" t="s">
        <v>223</v>
      </c>
      <c r="G27" s="17" t="s">
        <v>224</v>
      </c>
      <c r="H27" s="17" t="s">
        <v>225</v>
      </c>
      <c r="I27" s="17" t="s">
        <v>226</v>
      </c>
      <c r="J27" s="17" t="s">
        <v>227</v>
      </c>
      <c r="K27" s="17" t="s">
        <v>228</v>
      </c>
      <c r="L27" s="17" t="s">
        <v>229</v>
      </c>
      <c r="M27" s="17" t="s">
        <v>230</v>
      </c>
      <c r="N27" s="17" t="s">
        <v>231</v>
      </c>
      <c r="O27" s="17" t="s">
        <v>232</v>
      </c>
      <c r="P27" s="17" t="s">
        <v>233</v>
      </c>
      <c r="Q27" s="17" t="s">
        <v>234</v>
      </c>
    </row>
    <row r="28" spans="1:17">
      <c r="A28" s="18" t="s">
        <v>123</v>
      </c>
      <c r="B28" s="19">
        <f>COUNTIFS('Screen Status'!B2:B144,"AI Intelligence",'Screen Status'!J2:J144,"Not Started")</f>
        <v>3</v>
      </c>
      <c r="C28" s="19">
        <f>COUNTIFS('Screen Status'!B2:B144,"AI Intelligence",'Screen Status'!J2:J144,"Pending")</f>
        <v>0</v>
      </c>
      <c r="D28" s="19">
        <f>COUNTIFS('Screen Status'!B2:B144,"AI Intelligence",'Screen Status'!J2:J144,"In Testing")</f>
        <v>0</v>
      </c>
      <c r="E28" s="19">
        <f>COUNTIFS('Screen Status'!B2:B144,"AI Intelligence",'Screen Status'!J2:J144,"Passed")</f>
        <v>0</v>
      </c>
      <c r="F28" s="19">
        <f>COUNTIFS('Screen Status'!B2:B144,"AI Intelligence",'Screen Status'!J2:J144,"Failed")</f>
        <v>0</v>
      </c>
      <c r="G28" s="19">
        <f>COUNTIFS('Screen Status'!B2:B144,"AI Intelligence",'Screen Status'!J2:J144,"Issues Found")</f>
        <v>0</v>
      </c>
      <c r="H28" s="19">
        <f>COUNTIFS('Screen Status'!B2:B144,"AI Intelligence",'Screen Status'!J2:J144,"Blocked - Awaiting Fix")</f>
        <v>0</v>
      </c>
      <c r="I28" s="19">
        <f>COUNTIFS('Screen Status'!B2:B144,"AI Intelligence",'Screen Status'!J2:J144,"N/A (Upcoming)")</f>
        <v>3</v>
      </c>
      <c r="J28" s="19">
        <f>COUNTIFS('Screen Status'!B2:B144,"AI Intelligence",'Screen Status'!L2:L144,"Not Started")</f>
        <v>0</v>
      </c>
      <c r="K28" s="19">
        <f>COUNTIFS('Screen Status'!B2:B144,"AI Intelligence",'Screen Status'!L2:L144,"Pending")</f>
        <v>0</v>
      </c>
      <c r="L28" s="19">
        <f>COUNTIFS('Screen Status'!B2:B144,"AI Intelligence",'Screen Status'!L2:L144,"In Testing")</f>
        <v>0</v>
      </c>
      <c r="M28" s="19">
        <f>COUNTIFS('Screen Status'!B2:B144,"AI Intelligence",'Screen Status'!L2:L144,"Passed")</f>
        <v>0</v>
      </c>
      <c r="N28" s="19">
        <f>COUNTIFS('Screen Status'!B2:B144,"AI Intelligence",'Screen Status'!L2:L144,"Failed")</f>
        <v>0</v>
      </c>
      <c r="O28" s="19">
        <f>COUNTIFS('Screen Status'!B2:B144,"AI Intelligence",'Screen Status'!L2:L144,"Issues Found")</f>
        <v>0</v>
      </c>
      <c r="P28" s="19">
        <f>COUNTIFS('Screen Status'!B2:B144,"AI Intelligence",'Screen Status'!L2:L144,"Blocked - Awaiting Fix")</f>
        <v>0</v>
      </c>
      <c r="Q28" s="19">
        <f>COUNTIFS('Screen Status'!B2:B144,"AI Intelligence",'Screen Status'!L2:L144,"N/A (Upcoming)")</f>
        <v>0</v>
      </c>
    </row>
    <row r="29" spans="1:17">
      <c r="A29" s="18" t="s">
        <v>105</v>
      </c>
      <c r="B29" s="19">
        <f>COUNTIFS('Screen Status'!B2:B144,"Administration",'Screen Status'!J2:J144,"Not Started")</f>
        <v>6</v>
      </c>
      <c r="C29" s="19">
        <f>COUNTIFS('Screen Status'!B2:B144,"Administration",'Screen Status'!J2:J144,"Pending")</f>
        <v>0</v>
      </c>
      <c r="D29" s="19">
        <f>COUNTIFS('Screen Status'!B2:B144,"Administration",'Screen Status'!J2:J144,"In Testing")</f>
        <v>0</v>
      </c>
      <c r="E29" s="19">
        <f>COUNTIFS('Screen Status'!B2:B144,"Administration",'Screen Status'!J2:J144,"Passed")</f>
        <v>0</v>
      </c>
      <c r="F29" s="19">
        <f>COUNTIFS('Screen Status'!B2:B144,"Administration",'Screen Status'!J2:J144,"Failed")</f>
        <v>0</v>
      </c>
      <c r="G29" s="19">
        <f>COUNTIFS('Screen Status'!B2:B144,"Administration",'Screen Status'!J2:J144,"Issues Found")</f>
        <v>0</v>
      </c>
      <c r="H29" s="19">
        <f>COUNTIFS('Screen Status'!B2:B144,"Administration",'Screen Status'!J2:J144,"Blocked - Awaiting Fix")</f>
        <v>0</v>
      </c>
      <c r="I29" s="19">
        <f>COUNTIFS('Screen Status'!B2:B144,"Administration",'Screen Status'!J2:J144,"N/A (Upcoming)")</f>
        <v>0</v>
      </c>
      <c r="J29" s="19">
        <f>COUNTIFS('Screen Status'!B2:B144,"Administration",'Screen Status'!L2:L144,"Not Started")</f>
        <v>0</v>
      </c>
      <c r="K29" s="19">
        <f>COUNTIFS('Screen Status'!B2:B144,"Administration",'Screen Status'!L2:L144,"Pending")</f>
        <v>0</v>
      </c>
      <c r="L29" s="19">
        <f>COUNTIFS('Screen Status'!B2:B144,"Administration",'Screen Status'!L2:L144,"In Testing")</f>
        <v>0</v>
      </c>
      <c r="M29" s="19">
        <f>COUNTIFS('Screen Status'!B2:B144,"Administration",'Screen Status'!L2:L144,"Passed")</f>
        <v>0</v>
      </c>
      <c r="N29" s="19">
        <f>COUNTIFS('Screen Status'!B2:B144,"Administration",'Screen Status'!L2:L144,"Failed")</f>
        <v>0</v>
      </c>
      <c r="O29" s="19">
        <f>COUNTIFS('Screen Status'!B2:B144,"Administration",'Screen Status'!L2:L144,"Issues Found")</f>
        <v>0</v>
      </c>
      <c r="P29" s="19">
        <f>COUNTIFS('Screen Status'!B2:B144,"Administration",'Screen Status'!L2:L144,"Blocked - Awaiting Fix")</f>
        <v>0</v>
      </c>
      <c r="Q29" s="19">
        <f>COUNTIFS('Screen Status'!B2:B144,"Administration",'Screen Status'!L2:L144,"N/A (Upcoming)")</f>
        <v>0</v>
      </c>
    </row>
    <row r="30" spans="1:17">
      <c r="A30" s="18" t="s">
        <v>82</v>
      </c>
      <c r="B30" s="19">
        <f>COUNTIFS('Screen Status'!B2:B144,"Case Management",'Screen Status'!J2:J144,"Not Started")</f>
        <v>0</v>
      </c>
      <c r="C30" s="19">
        <f>COUNTIFS('Screen Status'!B2:B144,"Case Management",'Screen Status'!J2:J144,"Pending")</f>
        <v>0</v>
      </c>
      <c r="D30" s="19">
        <f>COUNTIFS('Screen Status'!B2:B144,"Case Management",'Screen Status'!J2:J144,"In Testing")</f>
        <v>0</v>
      </c>
      <c r="E30" s="19">
        <f>COUNTIFS('Screen Status'!B2:B144,"Case Management",'Screen Status'!J2:J144,"Passed")</f>
        <v>3</v>
      </c>
      <c r="F30" s="19">
        <f>COUNTIFS('Screen Status'!B2:B144,"Case Management",'Screen Status'!J2:J144,"Failed")</f>
        <v>0</v>
      </c>
      <c r="G30" s="19">
        <f>COUNTIFS('Screen Status'!B2:B144,"Case Management",'Screen Status'!J2:J144,"Issues Found")</f>
        <v>0</v>
      </c>
      <c r="H30" s="19">
        <f>COUNTIFS('Screen Status'!B2:B144,"Case Management",'Screen Status'!J2:J144,"Blocked - Awaiting Fix")</f>
        <v>0</v>
      </c>
      <c r="I30" s="19">
        <f>COUNTIFS('Screen Status'!B2:B144,"Case Management",'Screen Status'!J2:J144,"N/A (Upcoming)")</f>
        <v>1</v>
      </c>
      <c r="J30" s="19">
        <f>COUNTIFS('Screen Status'!B2:B144,"Case Management",'Screen Status'!L2:L144,"Not Started")</f>
        <v>0</v>
      </c>
      <c r="K30" s="19">
        <f>COUNTIFS('Screen Status'!B2:B144,"Case Management",'Screen Status'!L2:L144,"Pending")</f>
        <v>0</v>
      </c>
      <c r="L30" s="19">
        <f>COUNTIFS('Screen Status'!B2:B144,"Case Management",'Screen Status'!L2:L144,"In Testing")</f>
        <v>0</v>
      </c>
      <c r="M30" s="19">
        <f>COUNTIFS('Screen Status'!B2:B144,"Case Management",'Screen Status'!L2:L144,"Passed")</f>
        <v>0</v>
      </c>
      <c r="N30" s="19">
        <f>COUNTIFS('Screen Status'!B2:B144,"Case Management",'Screen Status'!L2:L144,"Failed")</f>
        <v>0</v>
      </c>
      <c r="O30" s="19">
        <f>COUNTIFS('Screen Status'!B2:B144,"Case Management",'Screen Status'!L2:L144,"Issues Found")</f>
        <v>0</v>
      </c>
      <c r="P30" s="19">
        <f>COUNTIFS('Screen Status'!B2:B144,"Case Management",'Screen Status'!L2:L144,"Blocked - Awaiting Fix")</f>
        <v>0</v>
      </c>
      <c r="Q30" s="19">
        <f>COUNTIFS('Screen Status'!B2:B144,"Case Management",'Screen Status'!L2:L144,"N/A (Upcoming)")</f>
        <v>0</v>
      </c>
    </row>
    <row r="31" spans="1:17">
      <c r="A31" s="18" t="s">
        <v>50</v>
      </c>
      <c r="B31" s="19">
        <f>COUNTIFS('Screen Status'!B2:B144,"Communication",'Screen Status'!J2:J144,"Not Started")</f>
        <v>7</v>
      </c>
      <c r="C31" s="19">
        <f>COUNTIFS('Screen Status'!B2:B144,"Communication",'Screen Status'!J2:J144,"Pending")</f>
        <v>1</v>
      </c>
      <c r="D31" s="19">
        <f>COUNTIFS('Screen Status'!B2:B144,"Communication",'Screen Status'!J2:J144,"In Testing")</f>
        <v>1</v>
      </c>
      <c r="E31" s="19">
        <f>COUNTIFS('Screen Status'!B2:B144,"Communication",'Screen Status'!J2:J144,"Passed")</f>
        <v>7</v>
      </c>
      <c r="F31" s="19">
        <f>COUNTIFS('Screen Status'!B2:B144,"Communication",'Screen Status'!J2:J144,"Failed")</f>
        <v>0</v>
      </c>
      <c r="G31" s="19">
        <f>COUNTIFS('Screen Status'!B2:B144,"Communication",'Screen Status'!J2:J144,"Issues Found")</f>
        <v>0</v>
      </c>
      <c r="H31" s="19">
        <f>COUNTIFS('Screen Status'!B2:B144,"Communication",'Screen Status'!J2:J144,"Blocked - Awaiting Fix")</f>
        <v>0</v>
      </c>
      <c r="I31" s="19">
        <f>COUNTIFS('Screen Status'!B2:B144,"Communication",'Screen Status'!J2:J144,"N/A (Upcoming)")</f>
        <v>0</v>
      </c>
      <c r="J31" s="19">
        <f>COUNTIFS('Screen Status'!B2:B144,"Communication",'Screen Status'!L2:L144,"Not Started")</f>
        <v>0</v>
      </c>
      <c r="K31" s="19">
        <f>COUNTIFS('Screen Status'!B2:B144,"Communication",'Screen Status'!L2:L144,"Pending")</f>
        <v>0</v>
      </c>
      <c r="L31" s="19">
        <f>COUNTIFS('Screen Status'!B2:B144,"Communication",'Screen Status'!L2:L144,"In Testing")</f>
        <v>0</v>
      </c>
      <c r="M31" s="19">
        <f>COUNTIFS('Screen Status'!B2:B144,"Communication",'Screen Status'!L2:L144,"Passed")</f>
        <v>0</v>
      </c>
      <c r="N31" s="19">
        <f>COUNTIFS('Screen Status'!B2:B144,"Communication",'Screen Status'!L2:L144,"Failed")</f>
        <v>0</v>
      </c>
      <c r="O31" s="19">
        <f>COUNTIFS('Screen Status'!B2:B144,"Communication",'Screen Status'!L2:L144,"Issues Found")</f>
        <v>0</v>
      </c>
      <c r="P31" s="19">
        <f>COUNTIFS('Screen Status'!B2:B144,"Communication",'Screen Status'!L2:L144,"Blocked - Awaiting Fix")</f>
        <v>0</v>
      </c>
      <c r="Q31" s="19">
        <f>COUNTIFS('Screen Status'!B2:B144,"Communication",'Screen Status'!L2:L144,"N/A (Upcoming)")</f>
        <v>0</v>
      </c>
    </row>
    <row r="32" spans="1:17">
      <c r="A32" s="18" t="s">
        <v>43</v>
      </c>
      <c r="B32" s="19">
        <f>COUNTIFS('Screen Status'!B2:B144,"Contacts",'Screen Status'!J2:J144,"Not Started")</f>
        <v>1</v>
      </c>
      <c r="C32" s="19">
        <f>COUNTIFS('Screen Status'!B2:B144,"Contacts",'Screen Status'!J2:J144,"Pending")</f>
        <v>1</v>
      </c>
      <c r="D32" s="19">
        <f>COUNTIFS('Screen Status'!B2:B144,"Contacts",'Screen Status'!J2:J144,"In Testing")</f>
        <v>0</v>
      </c>
      <c r="E32" s="19">
        <f>COUNTIFS('Screen Status'!B2:B144,"Contacts",'Screen Status'!J2:J144,"Passed")</f>
        <v>6</v>
      </c>
      <c r="F32" s="19">
        <f>COUNTIFS('Screen Status'!B2:B144,"Contacts",'Screen Status'!J2:J144,"Failed")</f>
        <v>0</v>
      </c>
      <c r="G32" s="19">
        <f>COUNTIFS('Screen Status'!B2:B144,"Contacts",'Screen Status'!J2:J144,"Issues Found")</f>
        <v>0</v>
      </c>
      <c r="H32" s="19">
        <f>COUNTIFS('Screen Status'!B2:B144,"Contacts",'Screen Status'!J2:J144,"Blocked - Awaiting Fix")</f>
        <v>0</v>
      </c>
      <c r="I32" s="19">
        <f>COUNTIFS('Screen Status'!B2:B144,"Contacts",'Screen Status'!J2:J144,"N/A (Upcoming)")</f>
        <v>0</v>
      </c>
      <c r="J32" s="19">
        <f>COUNTIFS('Screen Status'!B2:B144,"Contacts",'Screen Status'!L2:L144,"Not Started")</f>
        <v>0</v>
      </c>
      <c r="K32" s="19">
        <f>COUNTIFS('Screen Status'!B2:B144,"Contacts",'Screen Status'!L2:L144,"Pending")</f>
        <v>0</v>
      </c>
      <c r="L32" s="19">
        <f>COUNTIFS('Screen Status'!B2:B144,"Contacts",'Screen Status'!L2:L144,"In Testing")</f>
        <v>0</v>
      </c>
      <c r="M32" s="19">
        <f>COUNTIFS('Screen Status'!B2:B144,"Contacts",'Screen Status'!L2:L144,"Passed")</f>
        <v>0</v>
      </c>
      <c r="N32" s="19">
        <f>COUNTIFS('Screen Status'!B2:B144,"Contacts",'Screen Status'!L2:L144,"Failed")</f>
        <v>0</v>
      </c>
      <c r="O32" s="19">
        <f>COUNTIFS('Screen Status'!B2:B144,"Contacts",'Screen Status'!L2:L144,"Issues Found")</f>
        <v>0</v>
      </c>
      <c r="P32" s="19">
        <f>COUNTIFS('Screen Status'!B2:B144,"Contacts",'Screen Status'!L2:L144,"Blocked - Awaiting Fix")</f>
        <v>0</v>
      </c>
      <c r="Q32" s="19">
        <f>COUNTIFS('Screen Status'!B2:B144,"Contacts",'Screen Status'!L2:L144,"N/A (Upcoming)")</f>
        <v>0</v>
      </c>
    </row>
    <row r="33" spans="1:17">
      <c r="A33" s="18" t="s">
        <v>101</v>
      </c>
      <c r="B33" s="19">
        <f>COUNTIFS('Screen Status'!B2:B144,"Field Collection",'Screen Status'!J2:J144,"Not Started")</f>
        <v>2</v>
      </c>
      <c r="C33" s="19">
        <f>COUNTIFS('Screen Status'!B2:B144,"Field Collection",'Screen Status'!J2:J144,"Pending")</f>
        <v>3</v>
      </c>
      <c r="D33" s="19">
        <f>COUNTIFS('Screen Status'!B2:B144,"Field Collection",'Screen Status'!J2:J144,"In Testing")</f>
        <v>0</v>
      </c>
      <c r="E33" s="19">
        <f>COUNTIFS('Screen Status'!B2:B144,"Field Collection",'Screen Status'!J2:J144,"Passed")</f>
        <v>0</v>
      </c>
      <c r="F33" s="19">
        <f>COUNTIFS('Screen Status'!B2:B144,"Field Collection",'Screen Status'!J2:J144,"Failed")</f>
        <v>0</v>
      </c>
      <c r="G33" s="19">
        <f>COUNTIFS('Screen Status'!B2:B144,"Field Collection",'Screen Status'!J2:J144,"Issues Found")</f>
        <v>0</v>
      </c>
      <c r="H33" s="19">
        <f>COUNTIFS('Screen Status'!B2:B144,"Field Collection",'Screen Status'!J2:J144,"Blocked - Awaiting Fix")</f>
        <v>0</v>
      </c>
      <c r="I33" s="19">
        <f>COUNTIFS('Screen Status'!B2:B144,"Field Collection",'Screen Status'!J2:J144,"N/A (Upcoming)")</f>
        <v>1</v>
      </c>
      <c r="J33" s="19">
        <f>COUNTIFS('Screen Status'!B2:B144,"Field Collection",'Screen Status'!L2:L144,"Not Started")</f>
        <v>0</v>
      </c>
      <c r="K33" s="19">
        <f>COUNTIFS('Screen Status'!B2:B144,"Field Collection",'Screen Status'!L2:L144,"Pending")</f>
        <v>0</v>
      </c>
      <c r="L33" s="19">
        <f>COUNTIFS('Screen Status'!B2:B144,"Field Collection",'Screen Status'!L2:L144,"In Testing")</f>
        <v>0</v>
      </c>
      <c r="M33" s="19">
        <f>COUNTIFS('Screen Status'!B2:B144,"Field Collection",'Screen Status'!L2:L144,"Passed")</f>
        <v>0</v>
      </c>
      <c r="N33" s="19">
        <f>COUNTIFS('Screen Status'!B2:B144,"Field Collection",'Screen Status'!L2:L144,"Failed")</f>
        <v>0</v>
      </c>
      <c r="O33" s="19">
        <f>COUNTIFS('Screen Status'!B2:B144,"Field Collection",'Screen Status'!L2:L144,"Issues Found")</f>
        <v>0</v>
      </c>
      <c r="P33" s="19">
        <f>COUNTIFS('Screen Status'!B2:B144,"Field Collection",'Screen Status'!L2:L144,"Blocked - Awaiting Fix")</f>
        <v>0</v>
      </c>
      <c r="Q33" s="19">
        <f>COUNTIFS('Screen Status'!B2:B144,"Field Collection",'Screen Status'!L2:L144,"N/A (Upcoming)")</f>
        <v>0</v>
      </c>
    </row>
    <row r="34" spans="1:17">
      <c r="A34" s="18" t="s">
        <v>14</v>
      </c>
      <c r="B34" s="19">
        <f>COUNTIFS('Screen Status'!B2:B144,"Fundraising",'Screen Status'!J2:J144,"Not Started")</f>
        <v>3</v>
      </c>
      <c r="C34" s="19">
        <f>COUNTIFS('Screen Status'!B2:B144,"Fundraising",'Screen Status'!J2:J144,"Pending")</f>
        <v>3</v>
      </c>
      <c r="D34" s="19">
        <f>COUNTIFS('Screen Status'!B2:B144,"Fundraising",'Screen Status'!J2:J144,"In Testing")</f>
        <v>1</v>
      </c>
      <c r="E34" s="19">
        <f>COUNTIFS('Screen Status'!B2:B144,"Fundraising",'Screen Status'!J2:J144,"Passed")</f>
        <v>11</v>
      </c>
      <c r="F34" s="19">
        <f>COUNTIFS('Screen Status'!B2:B144,"Fundraising",'Screen Status'!J2:J144,"Failed")</f>
        <v>0</v>
      </c>
      <c r="G34" s="19">
        <f>COUNTIFS('Screen Status'!B2:B144,"Fundraising",'Screen Status'!J2:J144,"Issues Found")</f>
        <v>0</v>
      </c>
      <c r="H34" s="19">
        <f>COUNTIFS('Screen Status'!B2:B144,"Fundraising",'Screen Status'!J2:J144,"Blocked - Awaiting Fix")</f>
        <v>0</v>
      </c>
      <c r="I34" s="19">
        <f>COUNTIFS('Screen Status'!B2:B144,"Fundraising",'Screen Status'!J2:J144,"N/A (Upcoming)")</f>
        <v>0</v>
      </c>
      <c r="J34" s="19">
        <f>COUNTIFS('Screen Status'!B2:B144,"Fundraising",'Screen Status'!L2:L144,"Not Started")</f>
        <v>0</v>
      </c>
      <c r="K34" s="19">
        <f>COUNTIFS('Screen Status'!B2:B144,"Fundraising",'Screen Status'!L2:L144,"Pending")</f>
        <v>0</v>
      </c>
      <c r="L34" s="19">
        <f>COUNTIFS('Screen Status'!B2:B144,"Fundraising",'Screen Status'!L2:L144,"In Testing")</f>
        <v>0</v>
      </c>
      <c r="M34" s="19">
        <f>COUNTIFS('Screen Status'!B2:B144,"Fundraising",'Screen Status'!L2:L144,"Passed")</f>
        <v>0</v>
      </c>
      <c r="N34" s="19">
        <f>COUNTIFS('Screen Status'!B2:B144,"Fundraising",'Screen Status'!L2:L144,"Failed")</f>
        <v>0</v>
      </c>
      <c r="O34" s="19">
        <f>COUNTIFS('Screen Status'!B2:B144,"Fundraising",'Screen Status'!L2:L144,"Issues Found")</f>
        <v>0</v>
      </c>
      <c r="P34" s="19">
        <f>COUNTIFS('Screen Status'!B2:B144,"Fundraising",'Screen Status'!L2:L144,"Blocked - Awaiting Fix")</f>
        <v>0</v>
      </c>
      <c r="Q34" s="19">
        <f>COUNTIFS('Screen Status'!B2:B144,"Fundraising",'Screen Status'!L2:L144,"N/A (Upcoming)")</f>
        <v>0</v>
      </c>
    </row>
    <row r="35" spans="1:17">
      <c r="A35" s="18" t="s">
        <v>96</v>
      </c>
      <c r="B35" s="19">
        <f>COUNTIFS('Screen Status'!B2:B144,"Grants",'Screen Status'!J2:J144,"Not Started")</f>
        <v>0</v>
      </c>
      <c r="C35" s="19">
        <f>COUNTIFS('Screen Status'!B2:B144,"Grants",'Screen Status'!J2:J144,"Pending")</f>
        <v>0</v>
      </c>
      <c r="D35" s="19">
        <f>COUNTIFS('Screen Status'!B2:B144,"Grants",'Screen Status'!J2:J144,"In Testing")</f>
        <v>0</v>
      </c>
      <c r="E35" s="19">
        <f>COUNTIFS('Screen Status'!B2:B144,"Grants",'Screen Status'!J2:J144,"Passed")</f>
        <v>3</v>
      </c>
      <c r="F35" s="19">
        <f>COUNTIFS('Screen Status'!B2:B144,"Grants",'Screen Status'!J2:J144,"Failed")</f>
        <v>0</v>
      </c>
      <c r="G35" s="19">
        <f>COUNTIFS('Screen Status'!B2:B144,"Grants",'Screen Status'!J2:J144,"Issues Found")</f>
        <v>0</v>
      </c>
      <c r="H35" s="19">
        <f>COUNTIFS('Screen Status'!B2:B144,"Grants",'Screen Status'!J2:J144,"Blocked - Awaiting Fix")</f>
        <v>0</v>
      </c>
      <c r="I35" s="19">
        <f>COUNTIFS('Screen Status'!B2:B144,"Grants",'Screen Status'!J2:J144,"N/A (Upcoming)")</f>
        <v>0</v>
      </c>
      <c r="J35" s="19">
        <f>COUNTIFS('Screen Status'!B2:B144,"Grants",'Screen Status'!L2:L144,"Not Started")</f>
        <v>0</v>
      </c>
      <c r="K35" s="19">
        <f>COUNTIFS('Screen Status'!B2:B144,"Grants",'Screen Status'!L2:L144,"Pending")</f>
        <v>0</v>
      </c>
      <c r="L35" s="19">
        <f>COUNTIFS('Screen Status'!B2:B144,"Grants",'Screen Status'!L2:L144,"In Testing")</f>
        <v>0</v>
      </c>
      <c r="M35" s="19">
        <f>COUNTIFS('Screen Status'!B2:B144,"Grants",'Screen Status'!L2:L144,"Passed")</f>
        <v>0</v>
      </c>
      <c r="N35" s="19">
        <f>COUNTIFS('Screen Status'!B2:B144,"Grants",'Screen Status'!L2:L144,"Failed")</f>
        <v>0</v>
      </c>
      <c r="O35" s="19">
        <f>COUNTIFS('Screen Status'!B2:B144,"Grants",'Screen Status'!L2:L144,"Issues Found")</f>
        <v>0</v>
      </c>
      <c r="P35" s="19">
        <f>COUNTIFS('Screen Status'!B2:B144,"Grants",'Screen Status'!L2:L144,"Blocked - Awaiting Fix")</f>
        <v>0</v>
      </c>
      <c r="Q35" s="19">
        <f>COUNTIFS('Screen Status'!B2:B144,"Grants",'Screen Status'!L2:L144,"N/A (Upcoming)")</f>
        <v>0</v>
      </c>
    </row>
    <row r="36" spans="1:17">
      <c r="A36" s="18" t="s">
        <v>91</v>
      </c>
      <c r="B36" s="19">
        <f>COUNTIFS('Screen Status'!B2:B144,"Membership",'Screen Status'!J2:J144,"Not Started")</f>
        <v>0</v>
      </c>
      <c r="C36" s="19">
        <f>COUNTIFS('Screen Status'!B2:B144,"Membership",'Screen Status'!J2:J144,"Pending")</f>
        <v>0</v>
      </c>
      <c r="D36" s="19">
        <f>COUNTIFS('Screen Status'!B2:B144,"Membership",'Screen Status'!J2:J144,"In Testing")</f>
        <v>1</v>
      </c>
      <c r="E36" s="19">
        <f>COUNTIFS('Screen Status'!B2:B144,"Membership",'Screen Status'!J2:J144,"Passed")</f>
        <v>2</v>
      </c>
      <c r="F36" s="19">
        <f>COUNTIFS('Screen Status'!B2:B144,"Membership",'Screen Status'!J2:J144,"Failed")</f>
        <v>0</v>
      </c>
      <c r="G36" s="19">
        <f>COUNTIFS('Screen Status'!B2:B144,"Membership",'Screen Status'!J2:J144,"Issues Found")</f>
        <v>0</v>
      </c>
      <c r="H36" s="19">
        <f>COUNTIFS('Screen Status'!B2:B144,"Membership",'Screen Status'!J2:J144,"Blocked - Awaiting Fix")</f>
        <v>0</v>
      </c>
      <c r="I36" s="19">
        <f>COUNTIFS('Screen Status'!B2:B144,"Membership",'Screen Status'!J2:J144,"N/A (Upcoming)")</f>
        <v>0</v>
      </c>
      <c r="J36" s="19">
        <f>COUNTIFS('Screen Status'!B2:B144,"Membership",'Screen Status'!L2:L144,"Not Started")</f>
        <v>0</v>
      </c>
      <c r="K36" s="19">
        <f>COUNTIFS('Screen Status'!B2:B144,"Membership",'Screen Status'!L2:L144,"Pending")</f>
        <v>0</v>
      </c>
      <c r="L36" s="19">
        <f>COUNTIFS('Screen Status'!B2:B144,"Membership",'Screen Status'!L2:L144,"In Testing")</f>
        <v>0</v>
      </c>
      <c r="M36" s="19">
        <f>COUNTIFS('Screen Status'!B2:B144,"Membership",'Screen Status'!L2:L144,"Passed")</f>
        <v>0</v>
      </c>
      <c r="N36" s="19">
        <f>COUNTIFS('Screen Status'!B2:B144,"Membership",'Screen Status'!L2:L144,"Failed")</f>
        <v>0</v>
      </c>
      <c r="O36" s="19">
        <f>COUNTIFS('Screen Status'!B2:B144,"Membership",'Screen Status'!L2:L144,"Issues Found")</f>
        <v>0</v>
      </c>
      <c r="P36" s="19">
        <f>COUNTIFS('Screen Status'!B2:B144,"Membership",'Screen Status'!L2:L144,"Blocked - Awaiting Fix")</f>
        <v>0</v>
      </c>
      <c r="Q36" s="19">
        <f>COUNTIFS('Screen Status'!B2:B144,"Membership",'Screen Status'!L2:L144,"N/A (Upcoming)")</f>
        <v>0</v>
      </c>
    </row>
    <row r="37" spans="1:17">
      <c r="A37" s="18" t="s">
        <v>190</v>
      </c>
      <c r="B37" s="19">
        <f>COUNTIFS('Screen Status'!B2:B144,"Mobile",'Screen Status'!J2:J144,"Not Started")</f>
        <v>0</v>
      </c>
      <c r="C37" s="19">
        <f>COUNTIFS('Screen Status'!B2:B144,"Mobile",'Screen Status'!J2:J144,"Pending")</f>
        <v>0</v>
      </c>
      <c r="D37" s="19">
        <f>COUNTIFS('Screen Status'!B2:B144,"Mobile",'Screen Status'!J2:J144,"In Testing")</f>
        <v>0</v>
      </c>
      <c r="E37" s="19">
        <f>COUNTIFS('Screen Status'!B2:B144,"Mobile",'Screen Status'!J2:J144,"Passed")</f>
        <v>0</v>
      </c>
      <c r="F37" s="19">
        <f>COUNTIFS('Screen Status'!B2:B144,"Mobile",'Screen Status'!J2:J144,"Failed")</f>
        <v>0</v>
      </c>
      <c r="G37" s="19">
        <f>COUNTIFS('Screen Status'!B2:B144,"Mobile",'Screen Status'!J2:J144,"Issues Found")</f>
        <v>0</v>
      </c>
      <c r="H37" s="19">
        <f>COUNTIFS('Screen Status'!B2:B144,"Mobile",'Screen Status'!J2:J144,"Blocked - Awaiting Fix")</f>
        <v>0</v>
      </c>
      <c r="I37" s="19">
        <f>COUNTIFS('Screen Status'!B2:B144,"Mobile",'Screen Status'!J2:J144,"N/A (Upcoming)")</f>
        <v>1</v>
      </c>
      <c r="J37" s="19">
        <f>COUNTIFS('Screen Status'!B2:B144,"Mobile",'Screen Status'!L2:L144,"Not Started")</f>
        <v>0</v>
      </c>
      <c r="K37" s="19">
        <f>COUNTIFS('Screen Status'!B2:B144,"Mobile",'Screen Status'!L2:L144,"Pending")</f>
        <v>0</v>
      </c>
      <c r="L37" s="19">
        <f>COUNTIFS('Screen Status'!B2:B144,"Mobile",'Screen Status'!L2:L144,"In Testing")</f>
        <v>0</v>
      </c>
      <c r="M37" s="19">
        <f>COUNTIFS('Screen Status'!B2:B144,"Mobile",'Screen Status'!L2:L144,"Passed")</f>
        <v>0</v>
      </c>
      <c r="N37" s="19">
        <f>COUNTIFS('Screen Status'!B2:B144,"Mobile",'Screen Status'!L2:L144,"Failed")</f>
        <v>0</v>
      </c>
      <c r="O37" s="19">
        <f>COUNTIFS('Screen Status'!B2:B144,"Mobile",'Screen Status'!L2:L144,"Issues Found")</f>
        <v>0</v>
      </c>
      <c r="P37" s="19">
        <f>COUNTIFS('Screen Status'!B2:B144,"Mobile",'Screen Status'!L2:L144,"Blocked - Awaiting Fix")</f>
        <v>0</v>
      </c>
      <c r="Q37" s="19">
        <f>COUNTIFS('Screen Status'!B2:B144,"Mobile",'Screen Status'!L2:L144,"N/A (Upcoming)")</f>
        <v>0</v>
      </c>
    </row>
    <row r="38" spans="1:17">
      <c r="A38" s="18" t="s">
        <v>71</v>
      </c>
      <c r="B38" s="19">
        <f>COUNTIFS('Screen Status'!B2:B144,"Organization",'Screen Status'!J2:J144,"Not Started")</f>
        <v>2</v>
      </c>
      <c r="C38" s="19">
        <f>COUNTIFS('Screen Status'!B2:B144,"Organization",'Screen Status'!J2:J144,"Pending")</f>
        <v>1</v>
      </c>
      <c r="D38" s="19">
        <f>COUNTIFS('Screen Status'!B2:B144,"Organization",'Screen Status'!J2:J144,"In Testing")</f>
        <v>0</v>
      </c>
      <c r="E38" s="19">
        <f>COUNTIFS('Screen Status'!B2:B144,"Organization",'Screen Status'!J2:J144,"Passed")</f>
        <v>7</v>
      </c>
      <c r="F38" s="19">
        <f>COUNTIFS('Screen Status'!B2:B144,"Organization",'Screen Status'!J2:J144,"Failed")</f>
        <v>0</v>
      </c>
      <c r="G38" s="19">
        <f>COUNTIFS('Screen Status'!B2:B144,"Organization",'Screen Status'!J2:J144,"Issues Found")</f>
        <v>0</v>
      </c>
      <c r="H38" s="19">
        <f>COUNTIFS('Screen Status'!B2:B144,"Organization",'Screen Status'!J2:J144,"Blocked - Awaiting Fix")</f>
        <v>0</v>
      </c>
      <c r="I38" s="19">
        <f>COUNTIFS('Screen Status'!B2:B144,"Organization",'Screen Status'!J2:J144,"N/A (Upcoming)")</f>
        <v>0</v>
      </c>
      <c r="J38" s="19">
        <f>COUNTIFS('Screen Status'!B2:B144,"Organization",'Screen Status'!L2:L144,"Not Started")</f>
        <v>0</v>
      </c>
      <c r="K38" s="19">
        <f>COUNTIFS('Screen Status'!B2:B144,"Organization",'Screen Status'!L2:L144,"Pending")</f>
        <v>0</v>
      </c>
      <c r="L38" s="19">
        <f>COUNTIFS('Screen Status'!B2:B144,"Organization",'Screen Status'!L2:L144,"In Testing")</f>
        <v>0</v>
      </c>
      <c r="M38" s="19">
        <f>COUNTIFS('Screen Status'!B2:B144,"Organization",'Screen Status'!L2:L144,"Passed")</f>
        <v>0</v>
      </c>
      <c r="N38" s="19">
        <f>COUNTIFS('Screen Status'!B2:B144,"Organization",'Screen Status'!L2:L144,"Failed")</f>
        <v>0</v>
      </c>
      <c r="O38" s="19">
        <f>COUNTIFS('Screen Status'!B2:B144,"Organization",'Screen Status'!L2:L144,"Issues Found")</f>
        <v>0</v>
      </c>
      <c r="P38" s="19">
        <f>COUNTIFS('Screen Status'!B2:B144,"Organization",'Screen Status'!L2:L144,"Blocked - Awaiting Fix")</f>
        <v>0</v>
      </c>
      <c r="Q38" s="19">
        <f>COUNTIFS('Screen Status'!B2:B144,"Organization",'Screen Status'!L2:L144,"N/A (Upcoming)")</f>
        <v>0</v>
      </c>
    </row>
    <row r="39" spans="1:17">
      <c r="A39" s="18" t="s">
        <v>131</v>
      </c>
      <c r="B39" s="19">
        <f>COUNTIFS('Screen Status'!B2:B144,"Reports",'Screen Status'!J2:J144,"Not Started")</f>
        <v>4</v>
      </c>
      <c r="C39" s="19">
        <f>COUNTIFS('Screen Status'!B2:B144,"Reports",'Screen Status'!J2:J144,"Pending")</f>
        <v>0</v>
      </c>
      <c r="D39" s="19">
        <f>COUNTIFS('Screen Status'!B2:B144,"Reports",'Screen Status'!J2:J144,"In Testing")</f>
        <v>0</v>
      </c>
      <c r="E39" s="19">
        <f>COUNTIFS('Screen Status'!B2:B144,"Reports",'Screen Status'!J2:J144,"Passed")</f>
        <v>0</v>
      </c>
      <c r="F39" s="19">
        <f>COUNTIFS('Screen Status'!B2:B144,"Reports",'Screen Status'!J2:J144,"Failed")</f>
        <v>0</v>
      </c>
      <c r="G39" s="19">
        <f>COUNTIFS('Screen Status'!B2:B144,"Reports",'Screen Status'!J2:J144,"Issues Found")</f>
        <v>0</v>
      </c>
      <c r="H39" s="19">
        <f>COUNTIFS('Screen Status'!B2:B144,"Reports",'Screen Status'!J2:J144,"Blocked - Awaiting Fix")</f>
        <v>0</v>
      </c>
      <c r="I39" s="19">
        <f>COUNTIFS('Screen Status'!B2:B144,"Reports",'Screen Status'!J2:J144,"N/A (Upcoming)")</f>
        <v>4</v>
      </c>
      <c r="J39" s="19">
        <f>COUNTIFS('Screen Status'!B2:B144,"Reports",'Screen Status'!L2:L144,"Not Started")</f>
        <v>0</v>
      </c>
      <c r="K39" s="19">
        <f>COUNTIFS('Screen Status'!B2:B144,"Reports",'Screen Status'!L2:L144,"Pending")</f>
        <v>0</v>
      </c>
      <c r="L39" s="19">
        <f>COUNTIFS('Screen Status'!B2:B144,"Reports",'Screen Status'!L2:L144,"In Testing")</f>
        <v>0</v>
      </c>
      <c r="M39" s="19">
        <f>COUNTIFS('Screen Status'!B2:B144,"Reports",'Screen Status'!L2:L144,"Passed")</f>
        <v>0</v>
      </c>
      <c r="N39" s="19">
        <f>COUNTIFS('Screen Status'!B2:B144,"Reports",'Screen Status'!L2:L144,"Failed")</f>
        <v>0</v>
      </c>
      <c r="O39" s="19">
        <f>COUNTIFS('Screen Status'!B2:B144,"Reports",'Screen Status'!L2:L144,"Issues Found")</f>
        <v>0</v>
      </c>
      <c r="P39" s="19">
        <f>COUNTIFS('Screen Status'!B2:B144,"Reports",'Screen Status'!L2:L144,"Blocked - Awaiting Fix")</f>
        <v>0</v>
      </c>
      <c r="Q39" s="19">
        <f>COUNTIFS('Screen Status'!B2:B144,"Reports",'Screen Status'!L2:L144,"N/A (Upcoming)")</f>
        <v>0</v>
      </c>
    </row>
    <row r="40" spans="1:17">
      <c r="A40" s="18" t="s">
        <v>138</v>
      </c>
      <c r="B40" s="19">
        <f>COUNTIFS('Screen Status'!B2:B144,"Root / Layout",'Screen Status'!J2:J144,"Not Started")</f>
        <v>3</v>
      </c>
      <c r="C40" s="19">
        <f>COUNTIFS('Screen Status'!B2:B144,"Root / Layout",'Screen Status'!J2:J144,"Pending")</f>
        <v>0</v>
      </c>
      <c r="D40" s="19">
        <f>COUNTIFS('Screen Status'!B2:B144,"Root / Layout",'Screen Status'!J2:J144,"In Testing")</f>
        <v>0</v>
      </c>
      <c r="E40" s="19">
        <f>COUNTIFS('Screen Status'!B2:B144,"Root / Layout",'Screen Status'!J2:J144,"Passed")</f>
        <v>0</v>
      </c>
      <c r="F40" s="19">
        <f>COUNTIFS('Screen Status'!B2:B144,"Root / Layout",'Screen Status'!J2:J144,"Failed")</f>
        <v>0</v>
      </c>
      <c r="G40" s="19">
        <f>COUNTIFS('Screen Status'!B2:B144,"Root / Layout",'Screen Status'!J2:J144,"Issues Found")</f>
        <v>0</v>
      </c>
      <c r="H40" s="19">
        <f>COUNTIFS('Screen Status'!B2:B144,"Root / Layout",'Screen Status'!J2:J144,"Blocked - Awaiting Fix")</f>
        <v>0</v>
      </c>
      <c r="I40" s="19">
        <f>COUNTIFS('Screen Status'!B2:B144,"Root / Layout",'Screen Status'!J2:J144,"N/A (Upcoming)")</f>
        <v>0</v>
      </c>
      <c r="J40" s="19">
        <f>COUNTIFS('Screen Status'!B2:B144,"Root / Layout",'Screen Status'!L2:L144,"Not Started")</f>
        <v>0</v>
      </c>
      <c r="K40" s="19">
        <f>COUNTIFS('Screen Status'!B2:B144,"Root / Layout",'Screen Status'!L2:L144,"Pending")</f>
        <v>0</v>
      </c>
      <c r="L40" s="19">
        <f>COUNTIFS('Screen Status'!B2:B144,"Root / Layout",'Screen Status'!L2:L144,"In Testing")</f>
        <v>0</v>
      </c>
      <c r="M40" s="19">
        <f>COUNTIFS('Screen Status'!B2:B144,"Root / Layout",'Screen Status'!L2:L144,"Passed")</f>
        <v>0</v>
      </c>
      <c r="N40" s="19">
        <f>COUNTIFS('Screen Status'!B2:B144,"Root / Layout",'Screen Status'!L2:L144,"Failed")</f>
        <v>0</v>
      </c>
      <c r="O40" s="19">
        <f>COUNTIFS('Screen Status'!B2:B144,"Root / Layout",'Screen Status'!L2:L144,"Issues Found")</f>
        <v>0</v>
      </c>
      <c r="P40" s="19">
        <f>COUNTIFS('Screen Status'!B2:B144,"Root / Layout",'Screen Status'!L2:L144,"Blocked - Awaiting Fix")</f>
        <v>0</v>
      </c>
      <c r="Q40" s="19">
        <f>COUNTIFS('Screen Status'!B2:B144,"Root / Layout",'Screen Status'!L2:L144,"N/A (Upcoming)")</f>
        <v>0</v>
      </c>
    </row>
    <row r="41" spans="1:17">
      <c r="A41" s="18" t="s">
        <v>111</v>
      </c>
      <c r="B41" s="19">
        <f>COUNTIFS('Screen Status'!B2:B144,"Settings",'Screen Status'!J2:J144,"Not Started")</f>
        <v>13</v>
      </c>
      <c r="C41" s="19">
        <f>COUNTIFS('Screen Status'!B2:B144,"Settings",'Screen Status'!J2:J144,"Pending")</f>
        <v>0</v>
      </c>
      <c r="D41" s="19">
        <f>COUNTIFS('Screen Status'!B2:B144,"Settings",'Screen Status'!J2:J144,"In Testing")</f>
        <v>1</v>
      </c>
      <c r="E41" s="19">
        <f>COUNTIFS('Screen Status'!B2:B144,"Settings",'Screen Status'!J2:J144,"Passed")</f>
        <v>2</v>
      </c>
      <c r="F41" s="19">
        <f>COUNTIFS('Screen Status'!B2:B144,"Settings",'Screen Status'!J2:J144,"Failed")</f>
        <v>0</v>
      </c>
      <c r="G41" s="19">
        <f>COUNTIFS('Screen Status'!B2:B144,"Settings",'Screen Status'!J2:J144,"Issues Found")</f>
        <v>0</v>
      </c>
      <c r="H41" s="19">
        <f>COUNTIFS('Screen Status'!B2:B144,"Settings",'Screen Status'!J2:J144,"Blocked - Awaiting Fix")</f>
        <v>0</v>
      </c>
      <c r="I41" s="19">
        <f>COUNTIFS('Screen Status'!B2:B144,"Settings",'Screen Status'!J2:J144,"N/A (Upcoming)")</f>
        <v>4</v>
      </c>
      <c r="J41" s="19">
        <f>COUNTIFS('Screen Status'!B2:B144,"Settings",'Screen Status'!L2:L144,"Not Started")</f>
        <v>0</v>
      </c>
      <c r="K41" s="19">
        <f>COUNTIFS('Screen Status'!B2:B144,"Settings",'Screen Status'!L2:L144,"Pending")</f>
        <v>0</v>
      </c>
      <c r="L41" s="19">
        <f>COUNTIFS('Screen Status'!B2:B144,"Settings",'Screen Status'!L2:L144,"In Testing")</f>
        <v>0</v>
      </c>
      <c r="M41" s="19">
        <f>COUNTIFS('Screen Status'!B2:B144,"Settings",'Screen Status'!L2:L144,"Passed")</f>
        <v>0</v>
      </c>
      <c r="N41" s="19">
        <f>COUNTIFS('Screen Status'!B2:B144,"Settings",'Screen Status'!L2:L144,"Failed")</f>
        <v>0</v>
      </c>
      <c r="O41" s="19">
        <f>COUNTIFS('Screen Status'!B2:B144,"Settings",'Screen Status'!L2:L144,"Issues Found")</f>
        <v>0</v>
      </c>
      <c r="P41" s="19">
        <f>COUNTIFS('Screen Status'!B2:B144,"Settings",'Screen Status'!L2:L144,"Blocked - Awaiting Fix")</f>
        <v>0</v>
      </c>
      <c r="Q41" s="19">
        <f>COUNTIFS('Screen Status'!B2:B144,"Settings",'Screen Status'!L2:L144,"N/A (Upcoming)")</f>
        <v>0</v>
      </c>
    </row>
    <row r="42" spans="1:17">
      <c r="A42" s="18" t="s">
        <v>87</v>
      </c>
      <c r="B42" s="19">
        <f>COUNTIFS('Screen Status'!B2:B144,"Volunteer",'Screen Status'!J2:J144,"Not Started")</f>
        <v>0</v>
      </c>
      <c r="C42" s="19">
        <f>COUNTIFS('Screen Status'!B2:B144,"Volunteer",'Screen Status'!J2:J144,"Pending")</f>
        <v>0</v>
      </c>
      <c r="D42" s="19">
        <f>COUNTIFS('Screen Status'!B2:B144,"Volunteer",'Screen Status'!J2:J144,"In Testing")</f>
        <v>0</v>
      </c>
      <c r="E42" s="19">
        <f>COUNTIFS('Screen Status'!B2:B144,"Volunteer",'Screen Status'!J2:J144,"Passed")</f>
        <v>3</v>
      </c>
      <c r="F42" s="19">
        <f>COUNTIFS('Screen Status'!B2:B144,"Volunteer",'Screen Status'!J2:J144,"Failed")</f>
        <v>0</v>
      </c>
      <c r="G42" s="19">
        <f>COUNTIFS('Screen Status'!B2:B144,"Volunteer",'Screen Status'!J2:J144,"Issues Found")</f>
        <v>0</v>
      </c>
      <c r="H42" s="19">
        <f>COUNTIFS('Screen Status'!B2:B144,"Volunteer",'Screen Status'!J2:J144,"Blocked - Awaiting Fix")</f>
        <v>0</v>
      </c>
      <c r="I42" s="19">
        <f>COUNTIFS('Screen Status'!B2:B144,"Volunteer",'Screen Status'!J2:J144,"N/A (Upcoming)")</f>
        <v>1</v>
      </c>
      <c r="J42" s="19">
        <f>COUNTIFS('Screen Status'!B2:B144,"Volunteer",'Screen Status'!L2:L144,"Not Started")</f>
        <v>0</v>
      </c>
      <c r="K42" s="19">
        <f>COUNTIFS('Screen Status'!B2:B144,"Volunteer",'Screen Status'!L2:L144,"Pending")</f>
        <v>0</v>
      </c>
      <c r="L42" s="19">
        <f>COUNTIFS('Screen Status'!B2:B144,"Volunteer",'Screen Status'!L2:L144,"In Testing")</f>
        <v>0</v>
      </c>
      <c r="M42" s="19">
        <f>COUNTIFS('Screen Status'!B2:B144,"Volunteer",'Screen Status'!L2:L144,"Passed")</f>
        <v>0</v>
      </c>
      <c r="N42" s="19">
        <f>COUNTIFS('Screen Status'!B2:B144,"Volunteer",'Screen Status'!L2:L144,"Failed")</f>
        <v>0</v>
      </c>
      <c r="O42" s="19">
        <f>COUNTIFS('Screen Status'!B2:B144,"Volunteer",'Screen Status'!L2:L144,"Issues Found")</f>
        <v>0</v>
      </c>
      <c r="P42" s="19">
        <f>COUNTIFS('Screen Status'!B2:B144,"Volunteer",'Screen Status'!L2:L144,"Blocked - Awaiting Fix")</f>
        <v>0</v>
      </c>
      <c r="Q42" s="19">
        <f>COUNTIFS('Screen Status'!B2:B144,"Volunteer",'Screen Status'!L2:L144,"N/A (Upcoming)")</f>
        <v>0</v>
      </c>
    </row>
    <row r="43" spans="1:17">
      <c r="A43" s="21" t="s">
        <v>212</v>
      </c>
      <c r="B43" s="20">
        <f>COUNTIF('Screen Status'!J2:J144,"Not Started")</f>
        <v>49</v>
      </c>
      <c r="C43" s="20">
        <f>COUNTIF('Screen Status'!J2:J144,"Pending")</f>
        <v>9</v>
      </c>
      <c r="D43" s="20">
        <f>COUNTIF('Screen Status'!J2:J144,"In Testing")</f>
        <v>4</v>
      </c>
      <c r="E43" s="20">
        <f>COUNTIF('Screen Status'!J2:J144,"Passed")</f>
        <v>61</v>
      </c>
      <c r="F43" s="20">
        <f>COUNTIF('Screen Status'!J2:J144,"Failed")</f>
        <v>0</v>
      </c>
      <c r="G43" s="20">
        <f>COUNTIF('Screen Status'!J2:J144,"Issues Found")</f>
        <v>0</v>
      </c>
      <c r="H43" s="20">
        <f>COUNTIF('Screen Status'!J2:J144,"Blocked - Awaiting Fix")</f>
        <v>0</v>
      </c>
      <c r="I43" s="20">
        <f>COUNTIF('Screen Status'!J2:J144,"N/A (Upcoming)")</f>
        <v>15</v>
      </c>
      <c r="J43" s="20">
        <f>COUNTIF('Screen Status'!L2:L144,"Not Started")</f>
        <v>0</v>
      </c>
      <c r="K43" s="20">
        <f>COUNTIF('Screen Status'!L2:L144,"Pending")</f>
        <v>0</v>
      </c>
      <c r="L43" s="20">
        <f>COUNTIF('Screen Status'!L2:L144,"In Testing")</f>
        <v>0</v>
      </c>
      <c r="M43" s="20">
        <f>COUNTIF('Screen Status'!L2:L144,"Passed")</f>
        <v>0</v>
      </c>
      <c r="N43" s="20">
        <f>COUNTIF('Screen Status'!L2:L144,"Failed")</f>
        <v>0</v>
      </c>
      <c r="O43" s="20">
        <f>COUNTIF('Screen Status'!L2:L144,"Issues Found")</f>
        <v>0</v>
      </c>
      <c r="P43" s="20">
        <f>COUNTIF('Screen Status'!L2:L144,"Blocked - Awaiting Fix")</f>
        <v>0</v>
      </c>
      <c r="Q43" s="20">
        <f>COUNTIF('Screen Status'!L2:L144,"N/A (Upcoming)")</f>
        <v>0</v>
      </c>
    </row>
    <row r="44" spans="1:17" ht="15"/>
    <row r="45" spans="1:17" ht="15.6" customHeight="1">
      <c r="A45" s="43" t="s">
        <v>235</v>
      </c>
      <c r="B45" s="43"/>
      <c r="C45" s="43"/>
      <c r="D45" s="43"/>
      <c r="E45" s="43"/>
    </row>
    <row r="46" spans="1:17" ht="27">
      <c r="A46" s="17" t="s">
        <v>4</v>
      </c>
      <c r="B46" s="17" t="s">
        <v>18</v>
      </c>
      <c r="C46" s="17" t="s">
        <v>144</v>
      </c>
      <c r="D46" s="17" t="s">
        <v>236</v>
      </c>
      <c r="E46" s="17" t="s">
        <v>212</v>
      </c>
    </row>
    <row r="47" spans="1:17">
      <c r="A47" s="22" t="s">
        <v>34</v>
      </c>
      <c r="B47" s="19">
        <f>COUNTIFS('Screen Status'!E2:E144,"High",'Screen Status'!G2:G144,"Completed")</f>
        <v>35</v>
      </c>
      <c r="C47" s="19">
        <f>COUNTIFS('Screen Status'!E2:E144,"High",'Screen Status'!G2:G144,"In Progress (Partial)")</f>
        <v>0</v>
      </c>
      <c r="D47" s="19">
        <f>COUNTIF('Screen Status'!E2:E144,"High")-COUNTIFS('Screen Status'!E2:E144,"High",'Screen Status'!G2:G144,"Completed")-COUNTIFS('Screen Status'!E2:E144,"High",'Screen Status'!G2:G144,"In Progress (Partial)")</f>
        <v>0</v>
      </c>
      <c r="E47" s="20">
        <f>COUNTIF('Screen Status'!E2:E144,"High")</f>
        <v>35</v>
      </c>
    </row>
    <row r="48" spans="1:17">
      <c r="A48" s="22" t="s">
        <v>17</v>
      </c>
      <c r="B48" s="19">
        <f>COUNTIFS('Screen Status'!E2:E144,"Medium",'Screen Status'!G2:G144,"Completed")</f>
        <v>75</v>
      </c>
      <c r="C48" s="19">
        <f>COUNTIFS('Screen Status'!E2:E144,"Medium",'Screen Status'!G2:G144,"In Progress (Partial)")</f>
        <v>1</v>
      </c>
      <c r="D48" s="19">
        <f>COUNTIF('Screen Status'!E2:E144,"Medium")-COUNTIFS('Screen Status'!E2:E144,"Medium",'Screen Status'!G2:G144,"Completed")-COUNTIFS('Screen Status'!E2:E144,"Medium",'Screen Status'!G2:G144,"In Progress (Partial)")</f>
        <v>1</v>
      </c>
      <c r="E48" s="20">
        <f>COUNTIF('Screen Status'!E2:E144,"Medium")</f>
        <v>77</v>
      </c>
    </row>
    <row r="49" spans="1:11">
      <c r="A49" s="22" t="s">
        <v>67</v>
      </c>
      <c r="B49" s="19">
        <f>COUNTIFS('Screen Status'!E2:E144,"Low",'Screen Status'!G2:G144,"Completed")</f>
        <v>21</v>
      </c>
      <c r="C49" s="19">
        <f>COUNTIFS('Screen Status'!E2:E144,"Low",'Screen Status'!G2:G144,"In Progress (Partial)")</f>
        <v>0</v>
      </c>
      <c r="D49" s="19">
        <f>COUNTIF('Screen Status'!E2:E144,"Low")-COUNTIFS('Screen Status'!E2:E144,"Low",'Screen Status'!G2:G144,"Completed")-COUNTIFS('Screen Status'!E2:E144,"Low",'Screen Status'!G2:G144,"In Progress (Partial)")</f>
        <v>7</v>
      </c>
      <c r="E49" s="20">
        <f>COUNTIF('Screen Status'!E2:E144,"Low")</f>
        <v>28</v>
      </c>
    </row>
    <row r="50" spans="1:11" ht="15"/>
    <row r="51" spans="1:11" ht="15.6" customHeight="1">
      <c r="A51" s="43" t="s">
        <v>237</v>
      </c>
      <c r="B51" s="43"/>
      <c r="C51" s="43"/>
      <c r="D51" s="43"/>
      <c r="E51" s="43"/>
      <c r="F51" s="43"/>
      <c r="G51" s="43"/>
      <c r="H51" s="43"/>
      <c r="I51" s="43"/>
      <c r="J51" s="43"/>
      <c r="K51" s="43"/>
    </row>
    <row r="52" spans="1:11" ht="27">
      <c r="A52" s="17" t="s">
        <v>238</v>
      </c>
      <c r="B52" s="17" t="s">
        <v>239</v>
      </c>
      <c r="C52" s="17" t="s">
        <v>222</v>
      </c>
      <c r="D52" s="17" t="s">
        <v>223</v>
      </c>
      <c r="E52" s="17" t="s">
        <v>240</v>
      </c>
      <c r="F52" s="17" t="s">
        <v>220</v>
      </c>
      <c r="G52" s="17" t="s">
        <v>230</v>
      </c>
      <c r="H52" s="17" t="s">
        <v>231</v>
      </c>
      <c r="I52" s="17" t="s">
        <v>241</v>
      </c>
      <c r="J52" s="17" t="s">
        <v>228</v>
      </c>
      <c r="K52" s="17" t="s">
        <v>242</v>
      </c>
    </row>
    <row r="53" spans="1:11">
      <c r="A53" s="22" t="s">
        <v>19</v>
      </c>
      <c r="B53" s="19">
        <f>COUNTIFS('Screen Status'!H2:H144,"Karthick",'Screen Status'!G2:G144,"Completed")+COUNTIFS('Screen Status'!H2:H144,"Karthick",'Screen Status'!G2:G144,"Completed - Needs Fix")</f>
        <v>127</v>
      </c>
      <c r="C53" s="19">
        <f>COUNTIFS('Screen Status'!K2:K144,"Karthick",'Screen Status'!J2:J144,"Passed")</f>
        <v>33</v>
      </c>
      <c r="D53" s="19">
        <f>COUNTIFS('Screen Status'!K2:K144,"Karthick",'Screen Status'!J2:J144,"Failed")</f>
        <v>0</v>
      </c>
      <c r="E53" s="19">
        <f>COUNTIFS('Screen Status'!K2:K144,"Karthick",'Screen Status'!J2:J144,"Issues Found")</f>
        <v>0</v>
      </c>
      <c r="F53" s="19">
        <f>COUNTIFS('Screen Status'!K2:K144,"Karthick",'Screen Status'!J2:J144,"Pending")+COUNTIFS('Screen Status'!K2:K144,"Karthick",'Screen Status'!J2:J144,"Not Started")+COUNTIFS('Screen Status'!K2:K144,"Karthick",'Screen Status'!J2:J144,"In Testing")+COUNTIFS('Screen Status'!K2:K144,"Karthick",'Screen Status'!J2:J144,"Blocked - Awaiting Fix")</f>
        <v>9</v>
      </c>
      <c r="G53" s="19">
        <f>COUNTIFS('Screen Status'!M2:M144,"Karthick",'Screen Status'!L2:L144,"Passed")</f>
        <v>0</v>
      </c>
      <c r="H53" s="19">
        <f>COUNTIFS('Screen Status'!M2:M144,"Karthick",'Screen Status'!L2:L144,"Failed")</f>
        <v>0</v>
      </c>
      <c r="I53" s="19">
        <f>COUNTIFS('Screen Status'!M2:M144,"Karthick",'Screen Status'!L2:L144,"Issues Found")</f>
        <v>0</v>
      </c>
      <c r="J53" s="19">
        <f>COUNTIFS('Screen Status'!M2:M144,"Karthick",'Screen Status'!L2:L144,"Pending")+COUNTIFS('Screen Status'!M2:M144,"Karthick",'Screen Status'!L2:L144,"Not Started")+COUNTIFS('Screen Status'!M2:M144,"Karthick",'Screen Status'!L2:L144,"In Testing")+COUNTIFS('Screen Status'!M2:M144,"Karthick",'Screen Status'!L2:L144,"Blocked - Awaiting Fix")</f>
        <v>0</v>
      </c>
      <c r="K53" s="20">
        <f>SUM(B53:J53)</f>
        <v>169</v>
      </c>
    </row>
    <row r="54" spans="1:11">
      <c r="A54" s="22" t="s">
        <v>24</v>
      </c>
      <c r="B54" s="19">
        <f>COUNTIFS('Screen Status'!H2:H144,"Saranya",'Screen Status'!G2:G144,"Completed")+COUNTIFS('Screen Status'!H2:H144,"Saranya",'Screen Status'!G2:G144,"Completed - Needs Fix")</f>
        <v>1</v>
      </c>
      <c r="C54" s="19">
        <f>COUNTIFS('Screen Status'!K2:K144,"Saranya",'Screen Status'!J2:J144,"Passed")</f>
        <v>14</v>
      </c>
      <c r="D54" s="19">
        <f>COUNTIFS('Screen Status'!K2:K144,"Saranya",'Screen Status'!J2:J144,"Failed")</f>
        <v>0</v>
      </c>
      <c r="E54" s="19">
        <f>COUNTIFS('Screen Status'!K2:K144,"Saranya",'Screen Status'!J2:J144,"Issues Found")</f>
        <v>0</v>
      </c>
      <c r="F54" s="19">
        <f>COUNTIFS('Screen Status'!K2:K144,"Saranya",'Screen Status'!J2:J144,"Pending")+COUNTIFS('Screen Status'!K2:K144,"Saranya",'Screen Status'!J2:J144,"Not Started")+COUNTIFS('Screen Status'!K2:K144,"Saranya",'Screen Status'!J2:J144,"In Testing")+COUNTIFS('Screen Status'!K2:K144,"Saranya",'Screen Status'!J2:J144,"Blocked - Awaiting Fix")</f>
        <v>0</v>
      </c>
      <c r="G54" s="19">
        <f>COUNTIFS('Screen Status'!M2:M144,"Saranya",'Screen Status'!L2:L144,"Passed")</f>
        <v>0</v>
      </c>
      <c r="H54" s="19">
        <f>COUNTIFS('Screen Status'!M2:M144,"Saranya",'Screen Status'!L2:L144,"Failed")</f>
        <v>0</v>
      </c>
      <c r="I54" s="19">
        <f>COUNTIFS('Screen Status'!M2:M144,"Saranya",'Screen Status'!L2:L144,"Issues Found")</f>
        <v>0</v>
      </c>
      <c r="J54" s="19">
        <f>COUNTIFS('Screen Status'!M2:M144,"Saranya",'Screen Status'!L2:L144,"Pending")+COUNTIFS('Screen Status'!M2:M144,"Saranya",'Screen Status'!L2:L144,"Not Started")+COUNTIFS('Screen Status'!M2:M144,"Saranya",'Screen Status'!L2:L144,"In Testing")+COUNTIFS('Screen Status'!M2:M144,"Saranya",'Screen Status'!L2:L144,"Blocked - Awaiting Fix")</f>
        <v>0</v>
      </c>
      <c r="K54" s="20">
        <f>SUM(B54:J54)</f>
        <v>15</v>
      </c>
    </row>
    <row r="55" spans="1:11">
      <c r="A55" s="22" t="s">
        <v>37</v>
      </c>
      <c r="B55" s="19">
        <f>COUNTIFS('Screen Status'!H2:H144,"Kavin",'Screen Status'!G2:G144,"Completed")+COUNTIFS('Screen Status'!H2:H144,"Kavin",'Screen Status'!G2:G144,"Completed - Needs Fix")</f>
        <v>3</v>
      </c>
      <c r="C55" s="19">
        <f>COUNTIFS('Screen Status'!K2:K144,"Kavin",'Screen Status'!J2:J144,"Passed")</f>
        <v>10</v>
      </c>
      <c r="D55" s="19">
        <f>COUNTIFS('Screen Status'!K2:K144,"Kavin",'Screen Status'!J2:J144,"Failed")</f>
        <v>0</v>
      </c>
      <c r="E55" s="19">
        <f>COUNTIFS('Screen Status'!K2:K144,"Kavin",'Screen Status'!J2:J144,"Issues Found")</f>
        <v>0</v>
      </c>
      <c r="F55" s="19">
        <f>COUNTIFS('Screen Status'!K2:K144,"Kavin",'Screen Status'!J2:J144,"Pending")+COUNTIFS('Screen Status'!K2:K144,"Kavin",'Screen Status'!J2:J144,"Not Started")+COUNTIFS('Screen Status'!K2:K144,"Kavin",'Screen Status'!J2:J144,"In Testing")+COUNTIFS('Screen Status'!K2:K144,"Kavin",'Screen Status'!J2:J144,"Blocked - Awaiting Fix")</f>
        <v>7</v>
      </c>
      <c r="G55" s="19">
        <f>COUNTIFS('Screen Status'!M2:M144,"Kavin",'Screen Status'!L2:L144,"Passed")</f>
        <v>0</v>
      </c>
      <c r="H55" s="19">
        <f>COUNTIFS('Screen Status'!M2:M144,"Kavin",'Screen Status'!L2:L144,"Failed")</f>
        <v>0</v>
      </c>
      <c r="I55" s="19">
        <f>COUNTIFS('Screen Status'!M2:M144,"Kavin",'Screen Status'!L2:L144,"Issues Found")</f>
        <v>0</v>
      </c>
      <c r="J55" s="19">
        <f>COUNTIFS('Screen Status'!M2:M144,"Kavin",'Screen Status'!L2:L144,"Pending")+COUNTIFS('Screen Status'!M2:M144,"Kavin",'Screen Status'!L2:L144,"Not Started")+COUNTIFS('Screen Status'!M2:M144,"Kavin",'Screen Status'!L2:L144,"In Testing")+COUNTIFS('Screen Status'!M2:M144,"Kavin",'Screen Status'!L2:L144,"Blocked - Awaiting Fix")</f>
        <v>0</v>
      </c>
      <c r="K55" s="20">
        <f>SUM(B55:J55)</f>
        <v>20</v>
      </c>
    </row>
    <row r="56" spans="1:11">
      <c r="A56" s="22" t="s">
        <v>203</v>
      </c>
      <c r="B56" s="19">
        <f>COUNTIFS('Screen Status'!H2:H144,"Sangeetha",'Screen Status'!G2:G144,"Completed")+COUNTIFS('Screen Status'!H2:H144,"Sangeetha",'Screen Status'!G2:G144,"Completed - Needs Fix")</f>
        <v>0</v>
      </c>
      <c r="C56" s="19">
        <f>COUNTIFS('Screen Status'!K2:K144,"Sangeetha",'Screen Status'!J2:J144,"Passed")</f>
        <v>0</v>
      </c>
      <c r="D56" s="19">
        <f>COUNTIFS('Screen Status'!K2:K144,"Sangeetha",'Screen Status'!J2:J144,"Failed")</f>
        <v>0</v>
      </c>
      <c r="E56" s="19">
        <f>COUNTIFS('Screen Status'!K2:K144,"Sangeetha",'Screen Status'!J2:J144,"Issues Found")</f>
        <v>0</v>
      </c>
      <c r="F56" s="19">
        <f>COUNTIFS('Screen Status'!K2:K144,"Sangeetha",'Screen Status'!J2:J144,"Pending")+COUNTIFS('Screen Status'!K2:K144,"Sangeetha",'Screen Status'!J2:J144,"Not Started")+COUNTIFS('Screen Status'!K2:K144,"Sangeetha",'Screen Status'!J2:J144,"In Testing")+COUNTIFS('Screen Status'!K2:K144,"Sangeetha",'Screen Status'!J2:J144,"Blocked - Awaiting Fix")</f>
        <v>0</v>
      </c>
      <c r="G56" s="19">
        <f>COUNTIFS('Screen Status'!M2:M144,"Sangeetha",'Screen Status'!L2:L144,"Passed")</f>
        <v>0</v>
      </c>
      <c r="H56" s="19">
        <f>COUNTIFS('Screen Status'!M2:M144,"Sangeetha",'Screen Status'!L2:L144,"Failed")</f>
        <v>0</v>
      </c>
      <c r="I56" s="19">
        <f>COUNTIFS('Screen Status'!M2:M144,"Sangeetha",'Screen Status'!L2:L144,"Issues Found")</f>
        <v>0</v>
      </c>
      <c r="J56" s="19">
        <f>COUNTIFS('Screen Status'!M2:M144,"Sangeetha",'Screen Status'!L2:L144,"Pending")+COUNTIFS('Screen Status'!M2:M144,"Sangeetha",'Screen Status'!L2:L144,"Not Started")+COUNTIFS('Screen Status'!M2:M144,"Sangeetha",'Screen Status'!L2:L144,"In Testing")+COUNTIFS('Screen Status'!M2:M144,"Sangeetha",'Screen Status'!L2:L144,"Blocked - Awaiting Fix")</f>
        <v>0</v>
      </c>
      <c r="K56" s="20">
        <f>SUM(B56:J56)</f>
        <v>0</v>
      </c>
    </row>
  </sheetData>
  <mergeCells count="4">
    <mergeCell ref="A51:K51"/>
    <mergeCell ref="A45:E45"/>
    <mergeCell ref="A26:Q26"/>
    <mergeCell ref="A7:K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F06D-186C-49C4-BD66-905C20760DED}">
  <dimension ref="A1:C4"/>
  <sheetViews>
    <sheetView workbookViewId="0">
      <selection activeCell="B4" sqref="B4"/>
    </sheetView>
  </sheetViews>
  <sheetFormatPr defaultRowHeight="15"/>
  <cols>
    <col min="1" max="1" width="17" customWidth="1"/>
    <col min="2" max="2" width="19.85546875" customWidth="1"/>
    <col min="3" max="3" width="108.140625" customWidth="1"/>
  </cols>
  <sheetData>
    <row r="1" spans="1:3" ht="19.5" customHeight="1">
      <c r="A1" s="44" t="s">
        <v>243</v>
      </c>
      <c r="B1" s="44"/>
      <c r="C1" s="44"/>
    </row>
    <row r="2" spans="1:3">
      <c r="A2" s="38" t="s">
        <v>244</v>
      </c>
      <c r="B2" s="38" t="s">
        <v>245</v>
      </c>
      <c r="C2" s="38" t="s">
        <v>246</v>
      </c>
    </row>
    <row r="3" spans="1:3">
      <c r="A3" t="s">
        <v>247</v>
      </c>
      <c r="B3" t="s">
        <v>248</v>
      </c>
      <c r="C3" t="s">
        <v>249</v>
      </c>
    </row>
    <row r="4" spans="1:3">
      <c r="A4" t="s">
        <v>247</v>
      </c>
      <c r="B4" t="s">
        <v>250</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49"/>
  <sheetViews>
    <sheetView workbookViewId="0">
      <pane ySplit="10" topLeftCell="A11" activePane="bottomLeft" state="frozen"/>
      <selection pane="bottomLeft" activeCell="A11" sqref="A11"/>
    </sheetView>
  </sheetViews>
  <sheetFormatPr defaultRowHeight="15"/>
  <cols>
    <col min="1" max="1" width="6" customWidth="1"/>
    <col min="2" max="2" width="13" customWidth="1"/>
    <col min="3" max="3" width="24" customWidth="1"/>
    <col min="4" max="4" width="30" customWidth="1"/>
    <col min="5" max="5" width="72" customWidth="1"/>
    <col min="6" max="6" width="17" customWidth="1"/>
    <col min="7" max="7" width="10" customWidth="1"/>
    <col min="8" max="8" width="18" customWidth="1"/>
    <col min="9" max="9" width="12" customWidth="1"/>
    <col min="10" max="10" width="14" customWidth="1"/>
    <col min="11" max="11" width="10" customWidth="1"/>
    <col min="12" max="12" width="44" customWidth="1"/>
  </cols>
  <sheetData>
    <row r="1">
      <c r="A1" t="inlineStr">
        <is>
          <t xml:space="preserve">PSS 2.0 — Your Pending List (from Pending.txt)</t>
        </is>
      </c>
    </row>
    <row r="2">
      <c r="A2" t="inlineStr">
        <is>
          <t xml:space="preserve">YOUR list — items you noted in Pending.txt, reworded as clear work items. Estimated hours = ONE developer WITH AI assistance at AVERAGE prompting skill (includes prompt iteration, reviewing/fixing AI output, and testing). ~6 productive hrs = 1 day.</t>
        </is>
      </c>
    </row>
    <row r="4">
      <c r="A4" t="inlineStr">
        <is>
          <t xml:space="preserve">SUMMARY</t>
        </is>
      </c>
    </row>
    <row r="5">
      <c r="A5" t="inlineStr">
        <is>
          <t xml:space="preserve">Source</t>
        </is>
      </c>
      <c r="B5" t="inlineStr">
        <is>
          <t xml:space="preserve">Items</t>
        </is>
      </c>
      <c r="C5" t="inlineStr">
        <is>
          <t xml:space="preserve">Dev Hrs</t>
        </is>
      </c>
      <c r="D5" t="inlineStr">
        <is>
          <t xml:space="preserve">Test Hrs</t>
        </is>
      </c>
      <c r="E5" t="inlineStr">
        <is>
          <t xml:space="preserve">Total Hrs</t>
        </is>
      </c>
    </row>
    <row r="6">
      <c r="A6" t="inlineStr">
        <is>
          <t xml:space="preserve">Pending.txt</t>
        </is>
      </c>
      <c r="B6">
        <v>39</v>
      </c>
      <c r="C6">
        <v>260</v>
      </c>
      <c r="D6">
        <v>167</v>
      </c>
      <c r="E6">
        <v>427</v>
      </c>
    </row>
    <row r="7">
      <c r="A7" t="inlineStr">
        <is>
          <t xml:space="preserve">TOTAL</t>
        </is>
      </c>
      <c r="B7">
        <v>39</v>
      </c>
      <c r="C7">
        <v>260</v>
      </c>
      <c r="D7">
        <v>167</v>
      </c>
      <c r="E7">
        <v>427</v>
      </c>
    </row>
    <row r="8">
      <c r="A8" t="inlineStr">
        <is>
          <t xml:space="preserve">≈ 427 total hours  ·  ~71.2 working days for 1 AI-assisted developer (avg prompter)</t>
        </is>
      </c>
    </row>
    <row r="10">
      <c r="A10" t="inlineStr">
        <is>
          <t xml:space="preserve">ID</t>
        </is>
      </c>
      <c r="B10" t="inlineStr">
        <is>
          <t xml:space="preserve">Source</t>
        </is>
      </c>
      <c r="C10" t="inlineStr">
        <is>
          <t xml:space="preserve">Module</t>
        </is>
      </c>
      <c r="D10" t="inlineStr">
        <is>
          <t xml:space="preserve">Screen / Area</t>
        </is>
      </c>
      <c r="E10" t="inlineStr">
        <is>
          <t xml:space="preserve">Work Item</t>
        </is>
      </c>
      <c r="F10" t="inlineStr">
        <is>
          <t xml:space="preserve">Type</t>
        </is>
      </c>
      <c r="G10" t="inlineStr">
        <is>
          <t xml:space="preserve">Priority</t>
        </is>
      </c>
      <c r="H10" t="inlineStr">
        <is>
          <t xml:space="preserve">Tracker Status</t>
        </is>
      </c>
      <c r="I10" t="inlineStr">
        <is>
          <t xml:space="preserve">Dev Hrs (AI)</t>
        </is>
      </c>
      <c r="J10" t="inlineStr">
        <is>
          <t xml:space="preserve">Test/Verify Hrs</t>
        </is>
      </c>
      <c r="K10" t="inlineStr">
        <is>
          <t xml:space="preserve">Total Hrs</t>
        </is>
      </c>
      <c r="L10" t="inlineStr">
        <is>
          <t xml:space="preserve">Notes / Approach</t>
        </is>
      </c>
    </row>
    <row r="11">
      <c r="A11">
        <v>1</v>
      </c>
      <c r="B11" t="inlineStr">
        <is>
          <t xml:space="preserve">Pending.txt</t>
        </is>
      </c>
      <c r="C11" t="inlineStr">
        <is>
          <t xml:space="preserve">Fundraising / Contacts</t>
        </is>
      </c>
      <c r="D11" t="inlineStr">
        <is>
          <t xml:space="preserve">Currency handling (contact + amount display)</t>
        </is>
      </c>
      <c r="E11" t="inlineStr">
        <is>
          <t xml:space="preserve">Complete multi-currency handling in the remaining areas — contact-level currency, and every amount-display surface (grids, tiles, receipts, detail drawers) that still shows raw/base amounts.</t>
        </is>
      </c>
      <c r="F11" t="inlineStr">
        <is>
          <t xml:space="preserve">Cross-cutting</t>
        </is>
      </c>
      <c r="G11" t="inlineStr">
        <is>
          <t xml:space="preserve">High</t>
        </is>
      </c>
      <c r="H11" t="inlineStr">
        <is>
          <t xml:space="preserve">Partially done</t>
        </is>
      </c>
      <c r="I11">
        <v>12</v>
      </c>
      <c r="J11">
        <v>5</v>
      </c>
      <c r="K11">
        <v>17</v>
      </c>
      <c r="L11" t="inlineStr">
        <is>
          <t xml:space="preserve">Sweep all screens; reuse existing currency formatter; verify per-record currency vs org base.</t>
        </is>
      </c>
    </row>
    <row r="12">
      <c r="A12">
        <v>2</v>
      </c>
      <c r="B12" t="inlineStr">
        <is>
          <t xml:space="preserve">Pending.txt</t>
        </is>
      </c>
      <c r="C12" t="inlineStr">
        <is>
          <t xml:space="preserve">Global</t>
        </is>
      </c>
      <c r="D12" t="inlineStr">
        <is>
          <t xml:space="preserve">Currency conversion rate coverage</t>
        </is>
      </c>
      <c r="E12" t="inlineStr">
        <is>
          <t xml:space="preserve">Apply currency conversion-rate handling consistently across ALL areas that show or roll-up amounts (dashboards, reports, reconciliations).</t>
        </is>
      </c>
      <c r="F12" t="inlineStr">
        <is>
          <t xml:space="preserve">Cross-cutting</t>
        </is>
      </c>
      <c r="G12" t="inlineStr">
        <is>
          <t xml:space="preserve">High</t>
        </is>
      </c>
      <c r="H12" t="inlineStr">
        <is>
          <t xml:space="preserve">Partially done</t>
        </is>
      </c>
      <c r="I12">
        <v>10</v>
      </c>
      <c r="J12">
        <v>4</v>
      </c>
      <c r="K12">
        <v>14</v>
      </c>
      <c r="L12" t="inlineStr">
        <is>
          <t xml:space="preserve">Use direct-pair FX only (no USD triangulation); snapshot rate value on transaction rows.</t>
        </is>
      </c>
    </row>
    <row r="13">
      <c r="A13">
        <v>3</v>
      </c>
      <c r="B13" t="inlineStr">
        <is>
          <t xml:space="preserve">Pending.txt</t>
        </is>
      </c>
      <c r="C13" t="inlineStr">
        <is>
          <t xml:space="preserve">Global</t>
        </is>
      </c>
      <c r="D13" t="inlineStr">
        <is>
          <t xml:space="preserve">Currency decimal format</t>
        </is>
      </c>
      <c r="E13" t="inlineStr">
        <is>
          <t xml:space="preserve">Standardise currency decimal formatting (precision, grouping, symbol placement) across all input and display areas.</t>
        </is>
      </c>
      <c r="F13" t="inlineStr">
        <is>
          <t xml:space="preserve">Cross-cutting</t>
        </is>
      </c>
      <c r="G13" t="inlineStr">
        <is>
          <t xml:space="preserve">Medium</t>
        </is>
      </c>
      <c r="H13" t="inlineStr">
        <is>
          <t xml:space="preserve">Partially done</t>
        </is>
      </c>
      <c r="I13">
        <v>6</v>
      </c>
      <c r="J13">
        <v>3</v>
      </c>
      <c r="K13">
        <v>9</v>
      </c>
      <c r="L13" t="inlineStr">
        <is>
          <t xml:space="preserve">Central format util; drive precision from currency master.</t>
        </is>
      </c>
    </row>
    <row r="14">
      <c r="A14">
        <v>4</v>
      </c>
      <c r="B14" t="inlineStr">
        <is>
          <t xml:space="preserve">Pending.txt</t>
        </is>
      </c>
      <c r="C14" t="inlineStr">
        <is>
          <t xml:space="preserve">Global</t>
        </is>
      </c>
      <c r="D14" t="inlineStr">
        <is>
          <t xml:space="preserve">Timezone handling</t>
        </is>
      </c>
      <c r="E14" t="inlineStr">
        <is>
          <t xml:space="preserve">Implement end-to-end timezone handling — store UTC, display in org/user timezone across all date fields, filters and reports.</t>
        </is>
      </c>
      <c r="F14" t="inlineStr">
        <is>
          <t xml:space="preserve">Cross-cutting</t>
        </is>
      </c>
      <c r="G14" t="inlineStr">
        <is>
          <t xml:space="preserve">High</t>
        </is>
      </c>
      <c r="H14" t="inlineStr">
        <is>
          <t xml:space="preserve">Not started</t>
        </is>
      </c>
      <c r="I14">
        <v>12</v>
      </c>
      <c r="J14">
        <v>5</v>
      </c>
      <c r="K14">
        <v>17</v>
      </c>
      <c r="L14" t="inlineStr">
        <is>
          <t xml:space="preserve">DB is timestamptz; normalise wire DTOs; avoid DateTime.Today in EF predicates.</t>
        </is>
      </c>
    </row>
    <row r="15">
      <c r="A15">
        <v>5</v>
      </c>
      <c r="B15" t="inlineStr">
        <is>
          <t xml:space="preserve">Pending.txt</t>
        </is>
      </c>
      <c r="C15" t="inlineStr">
        <is>
          <t xml:space="preserve">Contacts</t>
        </is>
      </c>
      <c r="D15" t="inlineStr">
        <is>
          <t xml:space="preserve">Contact Import</t>
        </is>
      </c>
      <c r="E15" t="inlineStr">
        <is>
          <t xml:space="preserve">Re-test Contact Import end-to-end (mapping, dedupe on import, error rows, large-file).</t>
        </is>
      </c>
      <c r="F15" t="inlineStr">
        <is>
          <t xml:space="preserve">Retest</t>
        </is>
      </c>
      <c r="G15" t="inlineStr">
        <is>
          <t xml:space="preserve">Medium</t>
        </is>
      </c>
      <c r="H15" t="inlineStr">
        <is>
          <t xml:space="preserve">Marked Completed</t>
        </is>
      </c>
      <c r="I15">
        <v>1</v>
      </c>
      <c r="J15">
        <v>4</v>
      </c>
      <c r="K15">
        <v>5</v>
      </c>
      <c r="L15" t="inlineStr">
        <is>
          <t xml:space="preserve">Business-flow retest; confirm duplicate handling on import.</t>
        </is>
      </c>
    </row>
    <row r="16">
      <c r="A16">
        <v>6</v>
      </c>
      <c r="B16" t="inlineStr">
        <is>
          <t xml:space="preserve">Pending.txt</t>
        </is>
      </c>
      <c r="C16" t="inlineStr">
        <is>
          <t xml:space="preserve">Contacts</t>
        </is>
      </c>
      <c r="D16" t="inlineStr">
        <is>
          <t xml:space="preserve">Family</t>
        </is>
      </c>
      <c r="E16" t="inlineStr">
        <is>
          <t xml:space="preserve">Re-test Family screen (relationships, primary contact, merge behaviour).</t>
        </is>
      </c>
      <c r="F16" t="inlineStr">
        <is>
          <t xml:space="preserve">Retest</t>
        </is>
      </c>
      <c r="G16" t="inlineStr">
        <is>
          <t xml:space="preserve">Medium</t>
        </is>
      </c>
      <c r="H16" t="inlineStr">
        <is>
          <t xml:space="preserve">Marked Completed</t>
        </is>
      </c>
      <c r="I16">
        <v>1</v>
      </c>
      <c r="J16">
        <v>3</v>
      </c>
      <c r="K16">
        <v>4</v>
      </c>
      <c r="L16" t="inlineStr">
        <is>
          <t xml:space="preserve">Business-flow retest.</t>
        </is>
      </c>
    </row>
    <row r="17">
      <c r="A17">
        <v>7</v>
      </c>
      <c r="B17" t="inlineStr">
        <is>
          <t xml:space="preserve">Pending.txt</t>
        </is>
      </c>
      <c r="C17" t="inlineStr">
        <is>
          <t xml:space="preserve">Global</t>
        </is>
      </c>
      <c r="D17" t="inlineStr">
        <is>
          <t xml:space="preserve">Grids — import &amp; toggle cleanup</t>
        </is>
      </c>
      <c r="E17" t="inlineStr">
        <is>
          <t xml:space="preserve">Remove the Import action and the show/hide toggle option from all grids except the grids where they are genuinely required.</t>
        </is>
      </c>
      <c r="F17" t="inlineStr">
        <is>
          <t xml:space="preserve">Fix – UI/UX</t>
        </is>
      </c>
      <c r="G17" t="inlineStr">
        <is>
          <t xml:space="preserve">Medium</t>
        </is>
      </c>
      <c r="H17" t="inlineStr">
        <is>
          <t xml:space="preserve">Marked Completed</t>
        </is>
      </c>
      <c r="I17">
        <v>4</v>
      </c>
      <c r="J17">
        <v>2</v>
      </c>
      <c r="K17">
        <v>6</v>
      </c>
      <c r="L17" t="inlineStr">
        <is>
          <t xml:space="preserve">Audit each grid config; keep import only where a real import flow exists.</t>
        </is>
      </c>
    </row>
    <row r="18">
      <c r="A18">
        <v>8</v>
      </c>
      <c r="B18" t="inlineStr">
        <is>
          <t xml:space="preserve">Pending.txt</t>
        </is>
      </c>
      <c r="C18" t="inlineStr">
        <is>
          <t xml:space="preserve">Contacts</t>
        </is>
      </c>
      <c r="D18" t="inlineStr">
        <is>
          <t xml:space="preserve">Duplicate Detection</t>
        </is>
      </c>
      <c r="E18" t="inlineStr">
        <is>
          <t xml:space="preserve">Re-test Duplicate Detection (match rules, merge, survivorship).</t>
        </is>
      </c>
      <c r="F18" t="inlineStr">
        <is>
          <t xml:space="preserve">Retest</t>
        </is>
      </c>
      <c r="G18" t="inlineStr">
        <is>
          <t xml:space="preserve">Medium</t>
        </is>
      </c>
      <c r="H18" t="inlineStr">
        <is>
          <t xml:space="preserve">Marked Completed</t>
        </is>
      </c>
      <c r="I18">
        <v>1</v>
      </c>
      <c r="J18">
        <v>3</v>
      </c>
      <c r="K18">
        <v>4</v>
      </c>
      <c r="L18" t="inlineStr">
        <is>
          <t xml:space="preserve">Business-flow retest.</t>
        </is>
      </c>
    </row>
    <row r="19">
      <c r="A19">
        <v>9</v>
      </c>
      <c r="B19" t="inlineStr">
        <is>
          <t xml:space="preserve">Pending.txt</t>
        </is>
      </c>
      <c r="C19" t="inlineStr">
        <is>
          <t xml:space="preserve">Certificate</t>
        </is>
      </c>
      <c r="D19" t="inlineStr">
        <is>
          <t xml:space="preserve">Certificate Processing</t>
        </is>
      </c>
      <c r="E19" t="inlineStr">
        <is>
          <t xml:space="preserve">Re-test Certificate processing screen (generation, print, template binding).</t>
        </is>
      </c>
      <c r="F19" t="inlineStr">
        <is>
          <t xml:space="preserve">Retest</t>
        </is>
      </c>
      <c r="G19" t="inlineStr">
        <is>
          <t xml:space="preserve">Medium</t>
        </is>
      </c>
      <c r="H19" t="inlineStr">
        <is>
          <t xml:space="preserve">Marked Completed</t>
        </is>
      </c>
      <c r="I19">
        <v>1</v>
      </c>
      <c r="J19">
        <v>3</v>
      </c>
      <c r="K19">
        <v>4</v>
      </c>
      <c r="L19" t="inlineStr">
        <is>
          <t xml:space="preserve">Business-flow retest.</t>
        </is>
      </c>
    </row>
    <row r="20">
      <c r="A20">
        <v>10</v>
      </c>
      <c r="B20" t="inlineStr">
        <is>
          <t xml:space="preserve">Pending.txt</t>
        </is>
      </c>
      <c r="C20" t="inlineStr">
        <is>
          <t xml:space="preserve">Fundraising</t>
        </is>
      </c>
      <c r="D20" t="inlineStr">
        <is>
          <t xml:space="preserve">Pledge</t>
        </is>
      </c>
      <c r="E20" t="inlineStr">
        <is>
          <t xml:space="preserve">Reconcile Pledge screen — tracker says Completed but Pending list flags it for development; finish gaps and verify full pledge lifecycle (schedule, fulfilment, write-off).</t>
        </is>
      </c>
      <c r="F20" t="inlineStr">
        <is>
          <t xml:space="preserve">Complete/Verify</t>
        </is>
      </c>
      <c r="G20" t="inlineStr">
        <is>
          <t xml:space="preserve">High</t>
        </is>
      </c>
      <c r="H20" t="inlineStr">
        <is>
          <t xml:space="preserve">Marked Completed (disputed)</t>
        </is>
      </c>
      <c r="I20">
        <v>6</v>
      </c>
      <c r="J20">
        <v>3</v>
      </c>
      <c r="K20">
        <v>9</v>
      </c>
      <c r="L20" t="inlineStr">
        <is>
          <t xml:space="preserve">Confirm what is missing vs. built; close gaps.</t>
        </is>
      </c>
    </row>
    <row r="21">
      <c r="A21">
        <v>11</v>
      </c>
      <c r="B21" t="inlineStr">
        <is>
          <t xml:space="preserve">Pending.txt</t>
        </is>
      </c>
      <c r="C21" t="inlineStr">
        <is>
          <t xml:space="preserve">Fundraising</t>
        </is>
      </c>
      <c r="D21" t="inlineStr">
        <is>
          <t xml:space="preserve">Bulk Donation Upload</t>
        </is>
      </c>
      <c r="E21" t="inlineStr">
        <is>
          <t xml:space="preserve">Complete &amp; re-test bulk donation upload (template, validation, partial-failure, receipting).</t>
        </is>
      </c>
      <c r="F21" t="inlineStr">
        <is>
          <t xml:space="preserve">Complete/Retest</t>
        </is>
      </c>
      <c r="G21" t="inlineStr">
        <is>
          <t xml:space="preserve">Medium</t>
        </is>
      </c>
      <c r="H21" t="inlineStr">
        <is>
          <t xml:space="preserve">Marked Completed</t>
        </is>
      </c>
      <c r="I21">
        <v>4</v>
      </c>
      <c r="J21">
        <v>3</v>
      </c>
      <c r="K21">
        <v>7</v>
      </c>
      <c r="L21" t="inlineStr">
        <is>
          <t xml:space="preserve">Verify large-file + error-row handling.</t>
        </is>
      </c>
    </row>
    <row r="22">
      <c r="A22">
        <v>12</v>
      </c>
      <c r="B22" t="inlineStr">
        <is>
          <t xml:space="preserve">Pending.txt</t>
        </is>
      </c>
      <c r="C22" t="inlineStr">
        <is>
          <t xml:space="preserve">Fundraising</t>
        </is>
      </c>
      <c r="D22" t="inlineStr">
        <is>
          <t xml:space="preserve">Donation Reconciliation</t>
        </is>
      </c>
      <c r="E22" t="inlineStr">
        <is>
          <t xml:space="preserve">Complete &amp; re-test donation/payment reconciliation (matching, unmatched queue, gateway settlement).</t>
        </is>
      </c>
      <c r="F22" t="inlineStr">
        <is>
          <t xml:space="preserve">Complete/Retest</t>
        </is>
      </c>
      <c r="G22" t="inlineStr">
        <is>
          <t xml:space="preserve">High</t>
        </is>
      </c>
      <c r="H22" t="inlineStr">
        <is>
          <t xml:space="preserve">Marked Completed</t>
        </is>
      </c>
      <c r="I22">
        <v>4</v>
      </c>
      <c r="J22">
        <v>3</v>
      </c>
      <c r="K22">
        <v>7</v>
      </c>
      <c r="L22" t="inlineStr">
        <is>
          <t xml:space="preserve">Ties to payment-gateway real integration.</t>
        </is>
      </c>
    </row>
    <row r="23">
      <c r="A23">
        <v>13</v>
      </c>
      <c r="B23" t="inlineStr">
        <is>
          <t xml:space="preserve">Pending.txt</t>
        </is>
      </c>
      <c r="C23" t="inlineStr">
        <is>
          <t xml:space="preserve">Fundraising</t>
        </is>
      </c>
      <c r="D23" t="inlineStr">
        <is>
          <t xml:space="preserve">Refund</t>
        </is>
      </c>
      <c r="E23" t="inlineStr">
        <is>
          <t xml:space="preserve">Re-test Refund flow (approval, gateway refund, receipt reversal, ledger impact).</t>
        </is>
      </c>
      <c r="F23" t="inlineStr">
        <is>
          <t xml:space="preserve">Retest</t>
        </is>
      </c>
      <c r="G23" t="inlineStr">
        <is>
          <t xml:space="preserve">Medium</t>
        </is>
      </c>
      <c r="H23" t="inlineStr">
        <is>
          <t xml:space="preserve">Marked Completed</t>
        </is>
      </c>
      <c r="I23">
        <v>1</v>
      </c>
      <c r="J23">
        <v>2</v>
      </c>
      <c r="K23">
        <v>3</v>
      </c>
      <c r="L23" t="inlineStr">
        <is>
          <t xml:space="preserve">Business-flow retest.</t>
        </is>
      </c>
    </row>
    <row r="24">
      <c r="A24">
        <v>14</v>
      </c>
      <c r="B24" t="inlineStr">
        <is>
          <t xml:space="preserve">Pending.txt</t>
        </is>
      </c>
      <c r="C24" t="inlineStr">
        <is>
          <t xml:space="preserve">Fundraising</t>
        </is>
      </c>
      <c r="D24" t="inlineStr">
        <is>
          <t xml:space="preserve">Matching Gift</t>
        </is>
      </c>
      <c r="E24" t="inlineStr">
        <is>
          <t xml:space="preserve">Complete Matching Gift screen development &amp; verify employer-match workflow.</t>
        </is>
      </c>
      <c r="F24" t="inlineStr">
        <is>
          <t xml:space="preserve">Complete/Verify</t>
        </is>
      </c>
      <c r="G24" t="inlineStr">
        <is>
          <t xml:space="preserve">High</t>
        </is>
      </c>
      <c r="H24" t="inlineStr">
        <is>
          <t xml:space="preserve">Marked Completed</t>
        </is>
      </c>
      <c r="I24">
        <v>5</v>
      </c>
      <c r="J24">
        <v>3</v>
      </c>
      <c r="K24">
        <v>8</v>
      </c>
      <c r="L24" t="inlineStr">
        <is>
          <t xml:space="preserve">Confirm matching rules and payout tracking.</t>
        </is>
      </c>
    </row>
    <row r="25">
      <c r="A25">
        <v>15</v>
      </c>
      <c r="B25" t="inlineStr">
        <is>
          <t xml:space="preserve">Pending.txt</t>
        </is>
      </c>
      <c r="C25" t="inlineStr">
        <is>
          <t xml:space="preserve">Communication</t>
        </is>
      </c>
      <c r="D25" t="inlineStr">
        <is>
          <t xml:space="preserve">SMS &amp; WhatsApp service integration</t>
        </is>
      </c>
      <c r="E25" t="inlineStr">
        <is>
          <t xml:space="preserve">Integrate real SMS and WhatsApp sending services end-to-end (provider account, send, delivery status, templates) — not just screens.</t>
        </is>
      </c>
      <c r="F25" t="inlineStr">
        <is>
          <t xml:space="preserve">Integration</t>
        </is>
      </c>
      <c r="G25" t="inlineStr">
        <is>
          <t xml:space="preserve">High</t>
        </is>
      </c>
      <c r="H25" t="inlineStr">
        <is>
          <t xml:space="preserve">Screens built, service pending</t>
        </is>
      </c>
      <c r="I25">
        <v>16</v>
      </c>
      <c r="J25">
        <v>6</v>
      </c>
      <c r="K25">
        <v>22</v>
      </c>
      <c r="L25" t="inlineStr">
        <is>
          <t xml:space="preserve">Wire provider gateway; delivery webhooks; per-tenant account config.</t>
        </is>
      </c>
    </row>
    <row r="26">
      <c r="A26">
        <v>16</v>
      </c>
      <c r="B26" t="inlineStr">
        <is>
          <t xml:space="preserve">Pending.txt</t>
        </is>
      </c>
      <c r="C26" t="inlineStr">
        <is>
          <t xml:space="preserve">Communication</t>
        </is>
      </c>
      <c r="D26" t="inlineStr">
        <is>
          <t xml:space="preserve">In-App Notification service</t>
        </is>
      </c>
      <c r="E26" t="inlineStr">
        <is>
          <t xml:space="preserve">Implement the in-app notification service (produce, deliver, read-state, bell UI) across modules.</t>
        </is>
      </c>
      <c r="F26" t="inlineStr">
        <is>
          <t xml:space="preserve">Integration</t>
        </is>
      </c>
      <c r="G26" t="inlineStr">
        <is>
          <t xml:space="preserve">High</t>
        </is>
      </c>
      <c r="H26" t="inlineStr">
        <is>
          <t xml:space="preserve">Not started</t>
        </is>
      </c>
      <c r="I26">
        <v>12</v>
      </c>
      <c r="J26">
        <v>5</v>
      </c>
      <c r="K26">
        <v>17</v>
      </c>
      <c r="L26" t="inlineStr">
        <is>
          <t xml:space="preserve">Central notify service; subscribe key events.</t>
        </is>
      </c>
    </row>
    <row r="27">
      <c r="A27">
        <v>17</v>
      </c>
      <c r="B27" t="inlineStr">
        <is>
          <t xml:space="preserve">Pending.txt</t>
        </is>
      </c>
      <c r="C27" t="inlineStr">
        <is>
          <t xml:space="preserve">Prayer Request</t>
        </is>
      </c>
      <c r="D27" t="inlineStr">
        <is>
          <t xml:space="preserve">Prayer Request &amp; Reply service</t>
        </is>
      </c>
      <c r="E27" t="inlineStr">
        <is>
          <t xml:space="preserve">Implement Prayer Request and reply service end-to-end (submission, moderation, reply dispatch).</t>
        </is>
      </c>
      <c r="F27" t="inlineStr">
        <is>
          <t xml:space="preserve">Integration</t>
        </is>
      </c>
      <c r="G27" t="inlineStr">
        <is>
          <t xml:space="preserve">Medium</t>
        </is>
      </c>
      <c r="H27" t="inlineStr">
        <is>
          <t xml:space="preserve">Screens built, service pending</t>
        </is>
      </c>
      <c r="I27">
        <v>6</v>
      </c>
      <c r="J27">
        <v>3</v>
      </c>
      <c r="K27">
        <v>9</v>
      </c>
      <c r="L27" t="inlineStr">
        <is>
          <t xml:space="preserve">Wire reply dispatch + notification.</t>
        </is>
      </c>
    </row>
    <row r="28">
      <c r="A28">
        <v>18</v>
      </c>
      <c r="B28" t="inlineStr">
        <is>
          <t xml:space="preserve">Pending.txt</t>
        </is>
      </c>
      <c r="C28" t="inlineStr">
        <is>
          <t xml:space="preserve">Field Collection</t>
        </is>
      </c>
      <c r="D28" t="inlineStr">
        <is>
          <t xml:space="preserve">Ambassador module — full testing</t>
        </is>
      </c>
      <c r="E28" t="inlineStr">
        <is>
          <t xml:space="preserve">Full business-flow testing of Ambassador module: collection, book master, and book allocations as an end-to-end flow.</t>
        </is>
      </c>
      <c r="F28" t="inlineStr">
        <is>
          <t xml:space="preserve">Testing</t>
        </is>
      </c>
      <c r="G28" t="inlineStr">
        <is>
          <t xml:space="preserve">High</t>
        </is>
      </c>
      <c r="H28" t="inlineStr">
        <is>
          <t xml:space="preserve">Marked Completed</t>
        </is>
      </c>
      <c r="I28">
        <v>2</v>
      </c>
      <c r="J28">
        <v>8</v>
      </c>
      <c r="K28">
        <v>10</v>
      </c>
      <c r="L28" t="inlineStr">
        <is>
          <t xml:space="preserve">Cover allocation → collection → reconciliation.</t>
        </is>
      </c>
    </row>
    <row r="29">
      <c r="A29">
        <v>19</v>
      </c>
      <c r="B29" t="inlineStr">
        <is>
          <t xml:space="preserve">Pending.txt</t>
        </is>
      </c>
      <c r="C29" t="inlineStr">
        <is>
          <t xml:space="preserve">Grants</t>
        </is>
      </c>
      <c r="D29" t="inlineStr">
        <is>
          <t xml:space="preserve">Grant module — full testing</t>
        </is>
      </c>
      <c r="E29" t="inlineStr">
        <is>
          <t xml:space="preserve">Full business-wise testing of Grant: application, reports and communication flows.</t>
        </is>
      </c>
      <c r="F29" t="inlineStr">
        <is>
          <t xml:space="preserve">Testing</t>
        </is>
      </c>
      <c r="G29" t="inlineStr">
        <is>
          <t xml:space="preserve">High</t>
        </is>
      </c>
      <c r="H29" t="inlineStr">
        <is>
          <t xml:space="preserve">Marked Completed</t>
        </is>
      </c>
      <c r="I29">
        <v>2</v>
      </c>
      <c r="J29">
        <v>10</v>
      </c>
      <c r="K29">
        <v>12</v>
      </c>
      <c r="L29" t="inlineStr">
        <is>
          <t xml:space="preserve">See gap items: creation-flow &amp; funder-communication gaps.</t>
        </is>
      </c>
    </row>
    <row r="30">
      <c r="A30">
        <v>20</v>
      </c>
      <c r="B30" t="inlineStr">
        <is>
          <t xml:space="preserve">Pending.txt</t>
        </is>
      </c>
      <c r="C30" t="inlineStr">
        <is>
          <t xml:space="preserve">Case Management</t>
        </is>
      </c>
      <c r="D30" t="inlineStr">
        <is>
          <t xml:space="preserve">Case Management — full testing</t>
        </is>
      </c>
      <c r="E30" t="inlineStr">
        <is>
          <t xml:space="preserve">Full business-wise testing of Case Management (intake → assessment → assistance → closure).</t>
        </is>
      </c>
      <c r="F30" t="inlineStr">
        <is>
          <t xml:space="preserve">Testing</t>
        </is>
      </c>
      <c r="G30" t="inlineStr">
        <is>
          <t xml:space="preserve">High</t>
        </is>
      </c>
      <c r="H30" t="inlineStr">
        <is>
          <t xml:space="preserve">Marked Completed</t>
        </is>
      </c>
      <c r="I30">
        <v>2</v>
      </c>
      <c r="J30">
        <v>8</v>
      </c>
      <c r="K30">
        <v>10</v>
      </c>
      <c r="L30" t="inlineStr">
        <is>
          <t xml:space="preserve">Cover approval + fund allocation paths.</t>
        </is>
      </c>
    </row>
    <row r="31">
      <c r="A31">
        <v>21</v>
      </c>
      <c r="B31" t="inlineStr">
        <is>
          <t xml:space="preserve">Pending.txt</t>
        </is>
      </c>
      <c r="C31" t="inlineStr">
        <is>
          <t xml:space="preserve">Administration</t>
        </is>
      </c>
      <c r="D31" t="inlineStr">
        <is>
          <t xml:space="preserve">Approver settings &amp; approval process</t>
        </is>
      </c>
      <c r="E31" t="inlineStr">
        <is>
          <t xml:space="preserve">Implement and integrate Approver settings and the approval process across all modules/screens that require approvals.</t>
        </is>
      </c>
      <c r="F31" t="inlineStr">
        <is>
          <t xml:space="preserve">Integration</t>
        </is>
      </c>
      <c r="G31" t="inlineStr">
        <is>
          <t xml:space="preserve">High</t>
        </is>
      </c>
      <c r="H31" t="inlineStr">
        <is>
          <t xml:space="preserve">Not started</t>
        </is>
      </c>
      <c r="I31">
        <v>16</v>
      </c>
      <c r="J31">
        <v>6</v>
      </c>
      <c r="K31">
        <v>22</v>
      </c>
      <c r="L31" t="inlineStr">
        <is>
          <t xml:space="preserve">Config-driven approval chain; wire into Case, Grant, Refund, Expense, etc.</t>
        </is>
      </c>
    </row>
    <row r="32">
      <c r="A32">
        <v>22</v>
      </c>
      <c r="B32" t="inlineStr">
        <is>
          <t xml:space="preserve">Pending.txt</t>
        </is>
      </c>
      <c r="C32" t="inlineStr">
        <is>
          <t xml:space="preserve">Volunteer</t>
        </is>
      </c>
      <c r="D32" t="inlineStr">
        <is>
          <t xml:space="preserve">Volunteer module</t>
        </is>
      </c>
      <c r="E32" t="inlineStr">
        <is>
          <t xml:space="preserve">Complete Volunteer module implementation (registration, profiles, roles) and verify.</t>
        </is>
      </c>
      <c r="F32" t="inlineStr">
        <is>
          <t xml:space="preserve">Complete/Verify</t>
        </is>
      </c>
      <c r="G32" t="inlineStr">
        <is>
          <t xml:space="preserve">High</t>
        </is>
      </c>
      <c r="H32" t="inlineStr">
        <is>
          <t xml:space="preserve">Marked Completed</t>
        </is>
      </c>
      <c r="I32">
        <v>12</v>
      </c>
      <c r="J32">
        <v>5</v>
      </c>
      <c r="K32">
        <v>17</v>
      </c>
      <c r="L32" t="inlineStr">
        <is>
          <t xml:space="preserve">Reconcile built screens vs. required scope.</t>
        </is>
      </c>
    </row>
    <row r="33">
      <c r="A33">
        <v>23</v>
      </c>
      <c r="B33" t="inlineStr">
        <is>
          <t xml:space="preserve">Pending.txt</t>
        </is>
      </c>
      <c r="C33" t="inlineStr">
        <is>
          <t xml:space="preserve">Volunteer</t>
        </is>
      </c>
      <c r="D33" t="inlineStr">
        <is>
          <t xml:space="preserve">Volunteer Portal</t>
        </is>
      </c>
      <c r="E33" t="inlineStr">
        <is>
          <t xml:space="preserve">Implement Volunteer portal (hour tracking, availabilities, and other self-service detail collection).</t>
        </is>
      </c>
      <c r="F33" t="inlineStr">
        <is>
          <t xml:space="preserve">Development</t>
        </is>
      </c>
      <c r="G33" t="inlineStr">
        <is>
          <t xml:space="preserve">High</t>
        </is>
      </c>
      <c r="H33" t="inlineStr">
        <is>
          <t xml:space="preserve">Partial</t>
        </is>
      </c>
      <c r="I33">
        <v>12</v>
      </c>
      <c r="J33">
        <v>5</v>
      </c>
      <c r="K33">
        <v>17</v>
      </c>
      <c r="L33" t="inlineStr">
        <is>
          <t xml:space="preserve">Public/self-service surface + hour approval.</t>
        </is>
      </c>
    </row>
    <row r="34">
      <c r="A34">
        <v>24</v>
      </c>
      <c r="B34" t="inlineStr">
        <is>
          <t xml:space="preserve">Pending.txt</t>
        </is>
      </c>
      <c r="C34" t="inlineStr">
        <is>
          <t xml:space="preserve">Volunteer</t>
        </is>
      </c>
      <c r="D34" t="inlineStr">
        <is>
          <t xml:space="preserve">Volunteer service integration</t>
        </is>
      </c>
      <c r="E34" t="inlineStr">
        <is>
          <t xml:space="preserve">Integrate Volunteer service into the areas that need it — Event, P2P Fundraising, Case Management, etc.</t>
        </is>
      </c>
      <c r="F34" t="inlineStr">
        <is>
          <t xml:space="preserve">Integration</t>
        </is>
      </c>
      <c r="G34" t="inlineStr">
        <is>
          <t xml:space="preserve">Medium</t>
        </is>
      </c>
      <c r="H34" t="inlineStr">
        <is>
          <t xml:space="preserve">Not started</t>
        </is>
      </c>
      <c r="I34">
        <v>10</v>
      </c>
      <c r="J34">
        <v>4</v>
      </c>
      <c r="K34">
        <v>14</v>
      </c>
      <c r="L34" t="inlineStr">
        <is>
          <t xml:space="preserve">Assign/track volunteers from those modules.</t>
        </is>
      </c>
    </row>
    <row r="35">
      <c r="A35">
        <v>25</v>
      </c>
      <c r="B35" t="inlineStr">
        <is>
          <t xml:space="preserve">Pending.txt</t>
        </is>
      </c>
      <c r="C35" t="inlineStr">
        <is>
          <t xml:space="preserve">Membership</t>
        </is>
      </c>
      <c r="D35" t="inlineStr">
        <is>
          <t xml:space="preserve">Membership module</t>
        </is>
      </c>
      <c r="E35" t="inlineStr">
        <is>
          <t xml:space="preserve">Complete Membership module implementation (plan tiers, renewal, benefits) and verify.</t>
        </is>
      </c>
      <c r="F35" t="inlineStr">
        <is>
          <t xml:space="preserve">Complete/Verify</t>
        </is>
      </c>
      <c r="G35" t="inlineStr">
        <is>
          <t xml:space="preserve">High</t>
        </is>
      </c>
      <c r="H35" t="inlineStr">
        <is>
          <t xml:space="preserve">Marked Completed</t>
        </is>
      </c>
      <c r="I35">
        <v>10</v>
      </c>
      <c r="J35">
        <v>4</v>
      </c>
      <c r="K35">
        <v>14</v>
      </c>
      <c r="L35" t="inlineStr">
        <is>
          <t xml:space="preserve">Reconcile built screens vs. required scope.</t>
        </is>
      </c>
    </row>
    <row r="36">
      <c r="A36">
        <v>26</v>
      </c>
      <c r="B36" t="inlineStr">
        <is>
          <t xml:space="preserve">Pending.txt</t>
        </is>
      </c>
      <c r="C36" t="inlineStr">
        <is>
          <t xml:space="preserve">Membership</t>
        </is>
      </c>
      <c r="D36" t="inlineStr">
        <is>
          <t xml:space="preserve">Membership Portal</t>
        </is>
      </c>
      <c r="E36" t="inlineStr">
        <is>
          <t xml:space="preserve">Implement Membership portal (self-service join/renew/manage).</t>
        </is>
      </c>
      <c r="F36" t="inlineStr">
        <is>
          <t xml:space="preserve">Development</t>
        </is>
      </c>
      <c r="G36" t="inlineStr">
        <is>
          <t xml:space="preserve">Medium</t>
        </is>
      </c>
      <c r="H36" t="inlineStr">
        <is>
          <t xml:space="preserve">Partial</t>
        </is>
      </c>
      <c r="I36">
        <v>10</v>
      </c>
      <c r="J36">
        <v>4</v>
      </c>
      <c r="K36">
        <v>14</v>
      </c>
      <c r="L36" t="inlineStr">
        <is>
          <t xml:space="preserve">Public self-service surface.</t>
        </is>
      </c>
    </row>
    <row r="37">
      <c r="A37">
        <v>27</v>
      </c>
      <c r="B37" t="inlineStr">
        <is>
          <t xml:space="preserve">Pending.txt</t>
        </is>
      </c>
      <c r="C37" t="inlineStr">
        <is>
          <t xml:space="preserve">Organization</t>
        </is>
      </c>
      <c r="D37" t="inlineStr">
        <is>
          <t xml:space="preserve">Events</t>
        </is>
      </c>
      <c r="E37" t="inlineStr">
        <is>
          <t xml:space="preserve">Re-test Events screen (setup → registration → ticketing → check-in → analytics).</t>
        </is>
      </c>
      <c r="F37" t="inlineStr">
        <is>
          <t xml:space="preserve">Retest</t>
        </is>
      </c>
      <c r="G37" t="inlineStr">
        <is>
          <t xml:space="preserve">Medium</t>
        </is>
      </c>
      <c r="H37" t="inlineStr">
        <is>
          <t xml:space="preserve">Marked Completed</t>
        </is>
      </c>
      <c r="I37">
        <v>1</v>
      </c>
      <c r="J37">
        <v>3</v>
      </c>
      <c r="K37">
        <v>4</v>
      </c>
      <c r="L37" t="inlineStr">
        <is>
          <t xml:space="preserve">Business-flow retest.</t>
        </is>
      </c>
    </row>
    <row r="38">
      <c r="A38">
        <v>28</v>
      </c>
      <c r="B38" t="inlineStr">
        <is>
          <t xml:space="preserve">Pending.txt</t>
        </is>
      </c>
      <c r="C38" t="inlineStr">
        <is>
          <t xml:space="preserve">Organization</t>
        </is>
      </c>
      <c r="D38" t="inlineStr">
        <is>
          <t xml:space="preserve">Event Auction — commission integration</t>
        </is>
      </c>
      <c r="E38" t="inlineStr">
        <is>
          <t xml:space="preserve">Integrate Event Auction with the commission module (commission calc, payouts, reporting).</t>
        </is>
      </c>
      <c r="F38" t="inlineStr">
        <is>
          <t xml:space="preserve">Integration</t>
        </is>
      </c>
      <c r="G38" t="inlineStr">
        <is>
          <t xml:space="preserve">Medium</t>
        </is>
      </c>
      <c r="H38" t="inlineStr">
        <is>
          <t xml:space="preserve">Partial</t>
        </is>
      </c>
      <c r="I38">
        <v>8</v>
      </c>
      <c r="J38">
        <v>3</v>
      </c>
      <c r="K38">
        <v>11</v>
      </c>
      <c r="L38" t="inlineStr">
        <is>
          <t xml:space="preserve">Commission rules + settlement.</t>
        </is>
      </c>
    </row>
    <row r="39">
      <c r="A39">
        <v>29</v>
      </c>
      <c r="B39" t="inlineStr">
        <is>
          <t xml:space="preserve">Pending.txt</t>
        </is>
      </c>
      <c r="C39" t="inlineStr">
        <is>
          <t xml:space="preserve">Communication</t>
        </is>
      </c>
      <c r="D39" t="inlineStr">
        <is>
          <t xml:space="preserve">Social media communication integration</t>
        </is>
      </c>
      <c r="E39" t="inlineStr">
        <is>
          <t xml:space="preserve">Integrate social-media communication for Event, Case, etc. (post/share, channel config).</t>
        </is>
      </c>
      <c r="F39" t="inlineStr">
        <is>
          <t xml:space="preserve">Integration</t>
        </is>
      </c>
      <c r="G39" t="inlineStr">
        <is>
          <t xml:space="preserve">Medium</t>
        </is>
      </c>
      <c r="H39" t="inlineStr">
        <is>
          <t xml:space="preserve">Not started</t>
        </is>
      </c>
      <c r="I39">
        <v>10</v>
      </c>
      <c r="J39">
        <v>4</v>
      </c>
      <c r="K39">
        <v>14</v>
      </c>
      <c r="L39" t="inlineStr">
        <is>
          <t xml:space="preserve">Channel account config + publish flow.</t>
        </is>
      </c>
    </row>
    <row r="40">
      <c r="A40">
        <v>30</v>
      </c>
      <c r="B40" t="inlineStr">
        <is>
          <t xml:space="preserve">Pending.txt</t>
        </is>
      </c>
      <c r="C40" t="inlineStr">
        <is>
          <t xml:space="preserve">All modules</t>
        </is>
      </c>
      <c r="D40" t="inlineStr">
        <is>
          <t xml:space="preserve">Dashboards</t>
        </is>
      </c>
      <c r="E40" t="inlineStr">
        <is>
          <t xml:space="preserve">Complete dashboard development for all modules (build missing, finish partial, verify widgets &amp; data).</t>
        </is>
      </c>
      <c r="F40" t="inlineStr">
        <is>
          <t xml:space="preserve">Development</t>
        </is>
      </c>
      <c r="G40" t="inlineStr">
        <is>
          <t xml:space="preserve">Medium</t>
        </is>
      </c>
      <c r="H40" t="inlineStr">
        <is>
          <t xml:space="preserve">Partial</t>
        </is>
      </c>
      <c r="I40">
        <v>16</v>
      </c>
      <c r="J40">
        <v>6</v>
      </c>
      <c r="K40">
        <v>22</v>
      </c>
      <c r="L40" t="inlineStr">
        <is>
          <t xml:space="preserve">Each dashboard ships unique widgets; no clone tiles.</t>
        </is>
      </c>
    </row>
    <row r="41">
      <c r="A41">
        <v>31</v>
      </c>
      <c r="B41" t="inlineStr">
        <is>
          <t xml:space="preserve">Pending.txt</t>
        </is>
      </c>
      <c r="C41" t="inlineStr">
        <is>
          <t xml:space="preserve">Organization</t>
        </is>
      </c>
      <c r="D41" t="inlineStr">
        <is>
          <t xml:space="preserve">Staff creation &amp; role assignment</t>
        </is>
      </c>
      <c r="E41" t="inlineStr">
        <is>
          <t xml:space="preserve">Re-test staff creation and role assignment (invite, role bind, capability effect).</t>
        </is>
      </c>
      <c r="F41" t="inlineStr">
        <is>
          <t xml:space="preserve">Retest</t>
        </is>
      </c>
      <c r="G41" t="inlineStr">
        <is>
          <t xml:space="preserve">High</t>
        </is>
      </c>
      <c r="H41" t="inlineStr">
        <is>
          <t xml:space="preserve">Marked Completed</t>
        </is>
      </c>
      <c r="I41">
        <v>1</v>
      </c>
      <c r="J41">
        <v>3</v>
      </c>
      <c r="K41">
        <v>4</v>
      </c>
      <c r="L41" t="inlineStr">
        <is>
          <t xml:space="preserve">Verify capability changes take effect.</t>
        </is>
      </c>
    </row>
    <row r="42">
      <c r="A42">
        <v>32</v>
      </c>
      <c r="B42" t="inlineStr">
        <is>
          <t xml:space="preserve">Pending.txt</t>
        </is>
      </c>
      <c r="C42" t="inlineStr">
        <is>
          <t xml:space="preserve">Global</t>
        </is>
      </c>
      <c r="D42" t="inlineStr">
        <is>
          <t xml:space="preserve">Tax integration</t>
        </is>
      </c>
      <c r="E42" t="inlineStr">
        <is>
          <t xml:space="preserve">Implement tax integration in the required areas (tax config, computation on transactions, tax receipts/reports).</t>
        </is>
      </c>
      <c r="F42" t="inlineStr">
        <is>
          <t xml:space="preserve">Integration</t>
        </is>
      </c>
      <c r="G42" t="inlineStr">
        <is>
          <t xml:space="preserve">High</t>
        </is>
      </c>
      <c r="H42" t="inlineStr">
        <is>
          <t xml:space="preserve">Not started</t>
        </is>
      </c>
      <c r="I42">
        <v>12</v>
      </c>
      <c r="J42">
        <v>5</v>
      </c>
      <c r="K42">
        <v>17</v>
      </c>
      <c r="L42" t="inlineStr">
        <is>
          <t xml:space="preserve">Define taxable events; jurisdiction config.</t>
        </is>
      </c>
    </row>
    <row r="43">
      <c r="A43">
        <v>33</v>
      </c>
      <c r="B43" t="inlineStr">
        <is>
          <t xml:space="preserve">Pending.txt</t>
        </is>
      </c>
      <c r="C43" t="inlineStr">
        <is>
          <t xml:space="preserve">Administration</t>
        </is>
      </c>
      <c r="D43" t="inlineStr">
        <is>
          <t xml:space="preserve">Role configuration &amp; screen setup</t>
        </is>
      </c>
      <c r="E43" t="inlineStr">
        <is>
          <t xml:space="preserve">Revisit and test Role configurations and screen setup — Role, capabilities, menu access, widgets, etc.</t>
        </is>
      </c>
      <c r="F43" t="inlineStr">
        <is>
          <t xml:space="preserve">Testing</t>
        </is>
      </c>
      <c r="G43" t="inlineStr">
        <is>
          <t xml:space="preserve">High</t>
        </is>
      </c>
      <c r="H43" t="inlineStr">
        <is>
          <t xml:space="preserve">Marked Completed</t>
        </is>
      </c>
      <c r="I43">
        <v>3</v>
      </c>
      <c r="J43">
        <v>8</v>
      </c>
      <c r="K43">
        <v>11</v>
      </c>
      <c r="L43" t="inlineStr">
        <is>
          <t xml:space="preserve">Verify capability→menu→widget wiring per role.</t>
        </is>
      </c>
    </row>
    <row r="44">
      <c r="A44">
        <v>34</v>
      </c>
      <c r="B44" t="inlineStr">
        <is>
          <t xml:space="preserve">Pending.txt</t>
        </is>
      </c>
      <c r="C44" t="inlineStr">
        <is>
          <t xml:space="preserve">Settings</t>
        </is>
      </c>
      <c r="D44" t="inlineStr">
        <is>
          <t xml:space="preserve">Grid configuration</t>
        </is>
      </c>
      <c r="E44" t="inlineStr">
        <is>
          <t xml:space="preserve">Revisit grid configurations — Grid, fields, layouts, custom fields, filters, columns, etc.</t>
        </is>
      </c>
      <c r="F44" t="inlineStr">
        <is>
          <t xml:space="preserve">Testing</t>
        </is>
      </c>
      <c r="G44" t="inlineStr">
        <is>
          <t xml:space="preserve">High</t>
        </is>
      </c>
      <c r="H44" t="inlineStr">
        <is>
          <t xml:space="preserve">Marked Completed</t>
        </is>
      </c>
      <c r="I44">
        <v>3</v>
      </c>
      <c r="J44">
        <v>6</v>
      </c>
      <c r="K44">
        <v>9</v>
      </c>
      <c r="L44" t="inlineStr">
        <is>
          <t xml:space="preserve">Confirm per-grid config integrity across screens.</t>
        </is>
      </c>
    </row>
    <row r="45">
      <c r="A45">
        <v>35</v>
      </c>
      <c r="B45" t="inlineStr">
        <is>
          <t xml:space="preserve">Pending.txt</t>
        </is>
      </c>
      <c r="C45" t="inlineStr">
        <is>
          <t xml:space="preserve">Settings</t>
        </is>
      </c>
      <c r="D45" t="inlineStr">
        <is>
          <t xml:space="preserve">Master Data &amp; Master Data Type</t>
        </is>
      </c>
      <c r="E45" t="inlineStr">
        <is>
          <t xml:space="preserve">Complete &amp; re-test Master Data and Master Data Type screens.</t>
        </is>
      </c>
      <c r="F45" t="inlineStr">
        <is>
          <t xml:space="preserve">Complete/Retest</t>
        </is>
      </c>
      <c r="G45" t="inlineStr">
        <is>
          <t xml:space="preserve">Medium</t>
        </is>
      </c>
      <c r="H45" t="inlineStr">
        <is>
          <t xml:space="preserve">Marked Completed</t>
        </is>
      </c>
      <c r="I45">
        <v>4</v>
      </c>
      <c r="J45">
        <v>3</v>
      </c>
      <c r="K45">
        <v>7</v>
      </c>
      <c r="L45" t="inlineStr">
        <is>
          <t xml:space="preserve">Verify type→data relationship + usage.</t>
        </is>
      </c>
    </row>
    <row r="46">
      <c r="A46">
        <v>36</v>
      </c>
      <c r="B46" t="inlineStr">
        <is>
          <t xml:space="preserve">Pending.txt</t>
        </is>
      </c>
      <c r="C46" t="inlineStr">
        <is>
          <t xml:space="preserve">Settings</t>
        </is>
      </c>
      <c r="D46" t="inlineStr">
        <is>
          <t xml:space="preserve">Payment gateway &amp; account config</t>
        </is>
      </c>
      <c r="E46" t="inlineStr">
        <is>
          <t xml:space="preserve">Complete Payment gateway and account configuration setup screen (per-company gateway + bank account).</t>
        </is>
      </c>
      <c r="F46" t="inlineStr">
        <is>
          <t xml:space="preserve">Complete/Verify</t>
        </is>
      </c>
      <c r="G46" t="inlineStr">
        <is>
          <t xml:space="preserve">High</t>
        </is>
      </c>
      <c r="H46" t="inlineStr">
        <is>
          <t xml:space="preserve">Marked Completed</t>
        </is>
      </c>
      <c r="I46">
        <v>6</v>
      </c>
      <c r="J46">
        <v>3</v>
      </c>
      <c r="K46">
        <v>9</v>
      </c>
      <c r="L46" t="inlineStr">
        <is>
          <t xml:space="preserve">Ties to real payment processing (see audit).</t>
        </is>
      </c>
    </row>
    <row r="47">
      <c r="A47">
        <v>37</v>
      </c>
      <c r="B47" t="inlineStr">
        <is>
          <t xml:space="preserve">Pending.txt</t>
        </is>
      </c>
      <c r="C47" t="inlineStr">
        <is>
          <t xml:space="preserve">Settings</t>
        </is>
      </c>
      <c r="D47" t="inlineStr">
        <is>
          <t xml:space="preserve">WhatsApp / SMS / Email account config</t>
        </is>
      </c>
      <c r="E47" t="inlineStr">
        <is>
          <t xml:space="preserve">Complete WhatsApp, SMS and Email account configuration screens (credentials, sender, test-send).</t>
        </is>
      </c>
      <c r="F47" t="inlineStr">
        <is>
          <t xml:space="preserve">Complete/Verify</t>
        </is>
      </c>
      <c r="G47" t="inlineStr">
        <is>
          <t xml:space="preserve">High</t>
        </is>
      </c>
      <c r="H47" t="inlineStr">
        <is>
          <t xml:space="preserve">Marked Completed</t>
        </is>
      </c>
      <c r="I47">
        <v>6</v>
      </c>
      <c r="J47">
        <v>3</v>
      </c>
      <c r="K47">
        <v>9</v>
      </c>
      <c r="L47" t="inlineStr">
        <is>
          <t xml:space="preserve">Feeds the messaging integrations above.</t>
        </is>
      </c>
    </row>
    <row r="48">
      <c r="A48">
        <v>38</v>
      </c>
      <c r="B48" t="inlineStr">
        <is>
          <t xml:space="preserve">Pending.txt</t>
        </is>
      </c>
      <c r="C48" t="inlineStr">
        <is>
          <t xml:space="preserve">Settings</t>
        </is>
      </c>
      <c r="D48" t="inlineStr">
        <is>
          <t xml:space="preserve">Dashboard &amp; widgets config</t>
        </is>
      </c>
      <c r="E48" t="inlineStr">
        <is>
          <t xml:space="preserve">Complete Dashboard and widgets configuration screen (layout, widget catalog, role binding).</t>
        </is>
      </c>
      <c r="F48" t="inlineStr">
        <is>
          <t xml:space="preserve">Complete/Verify</t>
        </is>
      </c>
      <c r="G48" t="inlineStr">
        <is>
          <t xml:space="preserve">Medium</t>
        </is>
      </c>
      <c r="H48" t="inlineStr">
        <is>
          <t xml:space="preserve">Marked Completed</t>
        </is>
      </c>
      <c r="I48">
        <v>6</v>
      </c>
      <c r="J48">
        <v>3</v>
      </c>
      <c r="K48">
        <v>9</v>
      </c>
      <c r="L48" t="inlineStr">
        <is>
          <t xml:space="preserve">Drives per-role dashboards.</t>
        </is>
      </c>
    </row>
    <row r="49">
      <c r="A49">
        <v>39</v>
      </c>
      <c r="B49" t="inlineStr">
        <is>
          <t xml:space="preserve">Pending.txt</t>
        </is>
      </c>
      <c r="C49" t="inlineStr">
        <is>
          <t xml:space="preserve">Settings</t>
        </is>
      </c>
      <c r="D49" t="inlineStr">
        <is>
          <t xml:space="preserve">Settings hierarchy config</t>
        </is>
      </c>
      <c r="E49" t="inlineStr">
        <is>
          <t xml:space="preserve">Complete Setting Group + Organization Setting + User Setting hierarchy configuration screen (inheritance/override).</t>
        </is>
      </c>
      <c r="F49" t="inlineStr">
        <is>
          <t xml:space="preserve">Complete/Verify</t>
        </is>
      </c>
      <c r="G49" t="inlineStr">
        <is>
          <t xml:space="preserve">Medium</t>
        </is>
      </c>
      <c r="H49" t="inlineStr">
        <is>
          <t xml:space="preserve">Marked Completed</t>
        </is>
      </c>
      <c r="I49">
        <v>6</v>
      </c>
      <c r="J49">
        <v>3</v>
      </c>
      <c r="K49">
        <v>9</v>
      </c>
      <c r="L49" t="inlineStr">
        <is>
          <t xml:space="preserve">Verify override precedence.</t>
        </is>
      </c>
    </row>
  </sheetData>
  <autoFilter ref="A10:L49"/>
  <mergeCells count="2">
    <mergeCell ref="A1:L1"/>
    <mergeCell ref="A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361"/>
  <sheetViews>
    <sheetView workbookViewId="0">
      <pane ySplit="11" topLeftCell="A12" activePane="bottomLeft" state="frozen"/>
      <selection pane="bottomLeft" activeCell="A12" sqref="A12"/>
    </sheetView>
  </sheetViews>
  <sheetFormatPr defaultRowHeight="15"/>
  <cols>
    <col min="1" max="1" width="6" customWidth="1"/>
    <col min="2" max="2" width="13" customWidth="1"/>
    <col min="3" max="3" width="24" customWidth="1"/>
    <col min="4" max="4" width="30" customWidth="1"/>
    <col min="5" max="5" width="72" customWidth="1"/>
    <col min="6" max="6" width="17" customWidth="1"/>
    <col min="7" max="7" width="10" customWidth="1"/>
    <col min="8" max="8" width="18" customWidth="1"/>
    <col min="9" max="9" width="12" customWidth="1"/>
    <col min="10" max="10" width="14" customWidth="1"/>
    <col min="11" max="11" width="10" customWidth="1"/>
    <col min="12" max="12" width="44" customWidth="1"/>
  </cols>
  <sheetData>
    <row r="1">
      <c r="A1" t="inlineStr">
        <is>
          <t xml:space="preserve">PSS 2.0 — My Review Findings (Gap Analysis + Code Audit)</t>
        </is>
      </c>
    </row>
    <row r="2">
      <c r="A2" t="inlineStr">
        <is>
          <t xml:space="preserve">MY list — items I found in review: Gap Analysis (missing flows/integrations, e.g. grant creation flow, communication service integration) + Code Audit (335 findings from PRODUCTION-READINESS-BACKLOG.md). Same estimation basis: 1 AI-assisted developer, average prompter. ~6 productive hrs = 1 day.</t>
        </is>
      </c>
    </row>
    <row r="4">
      <c r="A4" t="inlineStr">
        <is>
          <t xml:space="preserve">SUMMARY</t>
        </is>
      </c>
    </row>
    <row r="5">
      <c r="A5" t="inlineStr">
        <is>
          <t xml:space="preserve">Source</t>
        </is>
      </c>
      <c r="B5" t="inlineStr">
        <is>
          <t xml:space="preserve">Items</t>
        </is>
      </c>
      <c r="C5" t="inlineStr">
        <is>
          <t xml:space="preserve">Dev Hrs</t>
        </is>
      </c>
      <c r="D5" t="inlineStr">
        <is>
          <t xml:space="preserve">Test Hrs</t>
        </is>
      </c>
      <c r="E5" t="inlineStr">
        <is>
          <t xml:space="preserve">Total Hrs</t>
        </is>
      </c>
    </row>
    <row r="6">
      <c r="A6" t="inlineStr">
        <is>
          <t xml:space="preserve">Gap Analysis</t>
        </is>
      </c>
      <c r="B6">
        <v>15</v>
      </c>
      <c r="C6">
        <v>77</v>
      </c>
      <c r="D6">
        <v>40</v>
      </c>
      <c r="E6">
        <v>117</v>
      </c>
    </row>
    <row r="7">
      <c r="A7" t="inlineStr">
        <is>
          <t xml:space="preserve">Code Audit</t>
        </is>
      </c>
      <c r="B7">
        <v>335</v>
      </c>
      <c r="C7">
        <v>846.5</v>
      </c>
      <c r="D7">
        <v>423.25</v>
      </c>
      <c r="E7">
        <v>1269.75</v>
      </c>
    </row>
    <row r="8">
      <c r="A8" t="inlineStr">
        <is>
          <t xml:space="preserve">TOTAL</t>
        </is>
      </c>
      <c r="B8">
        <v>350</v>
      </c>
      <c r="C8">
        <v>923.5</v>
      </c>
      <c r="D8">
        <v>463.25</v>
      </c>
      <c r="E8">
        <v>1386.75</v>
      </c>
    </row>
    <row r="9">
      <c r="A9" t="inlineStr">
        <is>
          <t xml:space="preserve">≈ 1386.8 total hours  ·  ~231.1 working days for 1 AI-assisted developer (avg prompter)</t>
        </is>
      </c>
    </row>
    <row r="11">
      <c r="A11" t="inlineStr">
        <is>
          <t xml:space="preserve">ID</t>
        </is>
      </c>
      <c r="B11" t="inlineStr">
        <is>
          <t xml:space="preserve">Source</t>
        </is>
      </c>
      <c r="C11" t="inlineStr">
        <is>
          <t xml:space="preserve">Module</t>
        </is>
      </c>
      <c r="D11" t="inlineStr">
        <is>
          <t xml:space="preserve">Screen / Area</t>
        </is>
      </c>
      <c r="E11" t="inlineStr">
        <is>
          <t xml:space="preserve">Work Item</t>
        </is>
      </c>
      <c r="F11" t="inlineStr">
        <is>
          <t xml:space="preserve">Type</t>
        </is>
      </c>
      <c r="G11" t="inlineStr">
        <is>
          <t xml:space="preserve">Priority</t>
        </is>
      </c>
      <c r="H11" t="inlineStr">
        <is>
          <t xml:space="preserve">Tracker Status</t>
        </is>
      </c>
      <c r="I11" t="inlineStr">
        <is>
          <t xml:space="preserve">Dev Hrs (AI)</t>
        </is>
      </c>
      <c r="J11" t="inlineStr">
        <is>
          <t xml:space="preserve">Test/Verify Hrs</t>
        </is>
      </c>
      <c r="K11" t="inlineStr">
        <is>
          <t xml:space="preserve">Total Hrs</t>
        </is>
      </c>
      <c r="L11" t="inlineStr">
        <is>
          <t xml:space="preserve">Notes / Approach</t>
        </is>
      </c>
    </row>
    <row r="12">
      <c r="A12">
        <v>1</v>
      </c>
      <c r="B12" t="inlineStr">
        <is>
          <t xml:space="preserve">Gap Analysis</t>
        </is>
      </c>
      <c r="C12" t="inlineStr">
        <is>
          <t xml:space="preserve">Grants</t>
        </is>
      </c>
      <c r="D12" t="inlineStr">
        <is>
          <t xml:space="preserve">Grant</t>
        </is>
      </c>
      <c r="E12" t="inlineStr">
        <is>
          <t xml:space="preserve">Grant creation flow — missing/incomplete steps: creation does not enforce the full application intake (funder, award-letter evidence, budget lines) before it can advance.</t>
        </is>
      </c>
      <c r="F12" t="inlineStr">
        <is>
          <t xml:space="preserve">Gap – Flow</t>
        </is>
      </c>
      <c r="G12" t="inlineStr">
        <is>
          <t xml:space="preserve">High</t>
        </is>
      </c>
      <c r="H12" t="inlineStr">
        <is>
          <t xml:space="preserve">Discovered</t>
        </is>
      </c>
      <c r="I12">
        <v>6</v>
      </c>
      <c r="J12">
        <v>3</v>
      </c>
      <c r="K12">
        <v>9</v>
      </c>
      <c r="L12" t="inlineStr">
        <is>
          <t xml:space="preserve">Align create → submit → approve with lifecycle rules.</t>
        </is>
      </c>
    </row>
    <row r="13">
      <c r="A13">
        <v>2</v>
      </c>
      <c r="B13" t="inlineStr">
        <is>
          <t xml:space="preserve">Gap Analysis</t>
        </is>
      </c>
      <c r="C13" t="inlineStr">
        <is>
          <t xml:space="preserve">Grants</t>
        </is>
      </c>
      <c r="D13" t="inlineStr">
        <is>
          <t xml:space="preserve">Grant</t>
        </is>
      </c>
      <c r="E13" t="inlineStr">
        <is>
          <t xml:space="preserve">Communication service integration missing on Grant screen — funder communication (compose-from-template + auto internal notify) not wired into the grant lifecycle actions.</t>
        </is>
      </c>
      <c r="F13" t="inlineStr">
        <is>
          <t xml:space="preserve">Gap – Integration</t>
        </is>
      </c>
      <c r="G13" t="inlineStr">
        <is>
          <t xml:space="preserve">High</t>
        </is>
      </c>
      <c r="H13" t="inlineStr">
        <is>
          <t xml:space="preserve">Discovered</t>
        </is>
      </c>
      <c r="I13">
        <v>5</v>
      </c>
      <c r="J13">
        <v>3</v>
      </c>
      <c r="K13">
        <v>8</v>
      </c>
      <c r="L13" t="inlineStr">
        <is>
          <t xml:space="preserve">Wire SendComposedEmail + GrantCommunication audit tab.</t>
        </is>
      </c>
    </row>
    <row r="14">
      <c r="A14">
        <v>3</v>
      </c>
      <c r="B14" t="inlineStr">
        <is>
          <t xml:space="preserve">Gap Analysis</t>
        </is>
      </c>
      <c r="C14" t="inlineStr">
        <is>
          <t xml:space="preserve">Grants</t>
        </is>
      </c>
      <c r="D14" t="inlineStr">
        <is>
          <t xml:space="preserve">Grant Stage</t>
        </is>
      </c>
      <c r="E14" t="inlineStr">
        <is>
          <t xml:space="preserve">Stage transition bypasses approval rules — a generic stage-mover can move a grant to Approved without award-letter evidence or notifications.</t>
        </is>
      </c>
      <c r="F14" t="inlineStr">
        <is>
          <t xml:space="preserve">Gap – Flow</t>
        </is>
      </c>
      <c r="G14" t="inlineStr">
        <is>
          <t xml:space="preserve">High</t>
        </is>
      </c>
      <c r="H14" t="inlineStr">
        <is>
          <t xml:space="preserve">Discovered</t>
        </is>
      </c>
      <c r="I14">
        <v>3</v>
      </c>
      <c r="J14">
        <v>2</v>
      </c>
      <c r="K14">
        <v>5</v>
      </c>
      <c r="L14" t="inlineStr">
        <is>
          <t xml:space="preserve">Route all transitions through the dedicated approve/activate handlers.</t>
        </is>
      </c>
    </row>
    <row r="15">
      <c r="A15">
        <v>4</v>
      </c>
      <c r="B15" t="inlineStr">
        <is>
          <t xml:space="preserve">Gap Analysis</t>
        </is>
      </c>
      <c r="C15" t="inlineStr">
        <is>
          <t xml:space="preserve">Case Management</t>
        </is>
      </c>
      <c r="D15" t="inlineStr">
        <is>
          <t xml:space="preserve">Case</t>
        </is>
      </c>
      <c r="E15" t="inlineStr">
        <is>
          <t xml:space="preserve">Approval workflow integration missing — Case assistance/fund steps are not gated by the approval process.</t>
        </is>
      </c>
      <c r="F15" t="inlineStr">
        <is>
          <t xml:space="preserve">Gap – Integration</t>
        </is>
      </c>
      <c r="G15" t="inlineStr">
        <is>
          <t xml:space="preserve">High</t>
        </is>
      </c>
      <c r="H15" t="inlineStr">
        <is>
          <t xml:space="preserve">Discovered</t>
        </is>
      </c>
      <c r="I15">
        <v>5</v>
      </c>
      <c r="J15">
        <v>3</v>
      </c>
      <c r="K15">
        <v>8</v>
      </c>
      <c r="L15" t="inlineStr">
        <is>
          <t xml:space="preserve">Depends on Approver settings item.</t>
        </is>
      </c>
    </row>
    <row r="16">
      <c r="A16">
        <v>5</v>
      </c>
      <c r="B16" t="inlineStr">
        <is>
          <t xml:space="preserve">Gap Analysis</t>
        </is>
      </c>
      <c r="C16" t="inlineStr">
        <is>
          <t xml:space="preserve">Fundraising</t>
        </is>
      </c>
      <c r="D16" t="inlineStr">
        <is>
          <t xml:space="preserve">Payment Reconciliation</t>
        </is>
      </c>
      <c r="E16" t="inlineStr">
        <is>
          <t xml:space="preserve">Gateway settlement integration missing — reconciliation has no real gateway settlement feed to match against.</t>
        </is>
      </c>
      <c r="F16" t="inlineStr">
        <is>
          <t xml:space="preserve">Gap – Integration</t>
        </is>
      </c>
      <c r="G16" t="inlineStr">
        <is>
          <t xml:space="preserve">High</t>
        </is>
      </c>
      <c r="H16" t="inlineStr">
        <is>
          <t xml:space="preserve">Discovered</t>
        </is>
      </c>
      <c r="I16">
        <v>6</v>
      </c>
      <c r="J16">
        <v>3</v>
      </c>
      <c r="K16">
        <v>9</v>
      </c>
      <c r="L16" t="inlineStr">
        <is>
          <t xml:space="preserve">Consumes payment-gateway real integration.</t>
        </is>
      </c>
    </row>
    <row r="17">
      <c r="A17">
        <v>6</v>
      </c>
      <c r="B17" t="inlineStr">
        <is>
          <t xml:space="preserve">Gap Analysis</t>
        </is>
      </c>
      <c r="C17" t="inlineStr">
        <is>
          <t xml:space="preserve">Fundraising</t>
        </is>
      </c>
      <c r="D17" t="inlineStr">
        <is>
          <t xml:space="preserve">Donation (Global)</t>
        </is>
      </c>
      <c r="E17" t="inlineStr">
        <is>
          <t xml:space="preserve">Receipt auto-generation &amp; email-on-donation not wired for all modes — receipt/comms do not fire consistently after a donation.</t>
        </is>
      </c>
      <c r="F17" t="inlineStr">
        <is>
          <t xml:space="preserve">Gap – Integration</t>
        </is>
      </c>
      <c r="G17" t="inlineStr">
        <is>
          <t xml:space="preserve">Medium</t>
        </is>
      </c>
      <c r="H17" t="inlineStr">
        <is>
          <t xml:space="preserve">Discovered</t>
        </is>
      </c>
      <c r="I17">
        <v>4</v>
      </c>
      <c r="J17">
        <v>2</v>
      </c>
      <c r="K17">
        <v>6</v>
      </c>
      <c r="L17" t="inlineStr">
        <is>
          <t xml:space="preserve">Confirm receipt number + email across modes.</t>
        </is>
      </c>
    </row>
    <row r="18">
      <c r="A18">
        <v>7</v>
      </c>
      <c r="B18" t="inlineStr">
        <is>
          <t xml:space="preserve">Gap Analysis</t>
        </is>
      </c>
      <c r="C18" t="inlineStr">
        <is>
          <t xml:space="preserve">Communication</t>
        </is>
      </c>
      <c r="D18" t="inlineStr">
        <is>
          <t xml:space="preserve">Event / Case</t>
        </is>
      </c>
      <c r="E18" t="inlineStr">
        <is>
          <t xml:space="preserve">Communication service not invoked from Event &amp; Case screens — no send-from-screen (email/SMS/WhatsApp) action.</t>
        </is>
      </c>
      <c r="F18" t="inlineStr">
        <is>
          <t xml:space="preserve">Gap – Integration</t>
        </is>
      </c>
      <c r="G18" t="inlineStr">
        <is>
          <t xml:space="preserve">Medium</t>
        </is>
      </c>
      <c r="H18" t="inlineStr">
        <is>
          <t xml:space="preserve">Discovered</t>
        </is>
      </c>
      <c r="I18">
        <v>6</v>
      </c>
      <c r="J18">
        <v>3</v>
      </c>
      <c r="K18">
        <v>9</v>
      </c>
      <c r="L18" t="inlineStr">
        <is>
          <t xml:space="preserve">Add contextual send actions.</t>
        </is>
      </c>
    </row>
    <row r="19">
      <c r="A19">
        <v>8</v>
      </c>
      <c r="B19" t="inlineStr">
        <is>
          <t xml:space="preserve">Gap Analysis</t>
        </is>
      </c>
      <c r="C19" t="inlineStr">
        <is>
          <t xml:space="preserve">Communication</t>
        </is>
      </c>
      <c r="D19" t="inlineStr">
        <is>
          <t xml:space="preserve">Notification</t>
        </is>
      </c>
      <c r="E19" t="inlineStr">
        <is>
          <t xml:space="preserve">In-app notifications not raised by domain events — key lifecycle events do not produce notifications.</t>
        </is>
      </c>
      <c r="F19" t="inlineStr">
        <is>
          <t xml:space="preserve">Gap – Integration</t>
        </is>
      </c>
      <c r="G19" t="inlineStr">
        <is>
          <t xml:space="preserve">Medium</t>
        </is>
      </c>
      <c r="H19" t="inlineStr">
        <is>
          <t xml:space="preserve">Discovered</t>
        </is>
      </c>
      <c r="I19">
        <v>5</v>
      </c>
      <c r="J19">
        <v>2</v>
      </c>
      <c r="K19">
        <v>7</v>
      </c>
      <c r="L19" t="inlineStr">
        <is>
          <t xml:space="preserve">Subscribe events to notify service.</t>
        </is>
      </c>
    </row>
    <row r="20">
      <c r="A20">
        <v>9</v>
      </c>
      <c r="B20" t="inlineStr">
        <is>
          <t xml:space="preserve">Gap Analysis</t>
        </is>
      </c>
      <c r="C20" t="inlineStr">
        <is>
          <t xml:space="preserve">Volunteer</t>
        </is>
      </c>
      <c r="D20" t="inlineStr">
        <is>
          <t xml:space="preserve">Event / P2P / Case</t>
        </is>
      </c>
      <c r="E20" t="inlineStr">
        <is>
          <t xml:space="preserve">Volunteer assignment not available from Event, P2P and Case screens.</t>
        </is>
      </c>
      <c r="F20" t="inlineStr">
        <is>
          <t xml:space="preserve">Gap – Integration</t>
        </is>
      </c>
      <c r="G20" t="inlineStr">
        <is>
          <t xml:space="preserve">Medium</t>
        </is>
      </c>
      <c r="H20" t="inlineStr">
        <is>
          <t xml:space="preserve">Discovered</t>
        </is>
      </c>
      <c r="I20">
        <v>5</v>
      </c>
      <c r="J20">
        <v>3</v>
      </c>
      <c r="K20">
        <v>8</v>
      </c>
      <c r="L20" t="inlineStr">
        <is>
          <t xml:space="preserve">Cross-module volunteer picker.</t>
        </is>
      </c>
    </row>
    <row r="21">
      <c r="A21">
        <v>10</v>
      </c>
      <c r="B21" t="inlineStr">
        <is>
          <t xml:space="preserve">Gap Analysis</t>
        </is>
      </c>
      <c r="C21" t="inlineStr">
        <is>
          <t xml:space="preserve">Fundraising</t>
        </is>
      </c>
      <c r="D21" t="inlineStr">
        <is>
          <t xml:space="preserve">Refund</t>
        </is>
      </c>
      <c r="E21" t="inlineStr">
        <is>
          <t xml:space="preserve">Refund → gateway reversal + ledger + receipt reversal chain incomplete.</t>
        </is>
      </c>
      <c r="F21" t="inlineStr">
        <is>
          <t xml:space="preserve">Gap – Flow</t>
        </is>
      </c>
      <c r="G21" t="inlineStr">
        <is>
          <t xml:space="preserve">Medium</t>
        </is>
      </c>
      <c r="H21" t="inlineStr">
        <is>
          <t xml:space="preserve">Discovered</t>
        </is>
      </c>
      <c r="I21">
        <v>4</v>
      </c>
      <c r="J21">
        <v>2</v>
      </c>
      <c r="K21">
        <v>6</v>
      </c>
      <c r="L21" t="inlineStr">
        <is>
          <t xml:space="preserve">Verify downstream reversal effects.</t>
        </is>
      </c>
    </row>
    <row r="22">
      <c r="A22">
        <v>11</v>
      </c>
      <c r="B22" t="inlineStr">
        <is>
          <t xml:space="preserve">Gap Analysis</t>
        </is>
      </c>
      <c r="C22" t="inlineStr">
        <is>
          <t xml:space="preserve">Administration</t>
        </is>
      </c>
      <c r="D22" t="inlineStr">
        <is>
          <t xml:space="preserve">Approvals</t>
        </is>
      </c>
      <c r="E22" t="inlineStr">
        <is>
          <t xml:space="preserve">No central approval inbox — approvers have no single queue across modules.</t>
        </is>
      </c>
      <c r="F22" t="inlineStr">
        <is>
          <t xml:space="preserve">Gap – Flow</t>
        </is>
      </c>
      <c r="G22" t="inlineStr">
        <is>
          <t xml:space="preserve">Medium</t>
        </is>
      </c>
      <c r="H22" t="inlineStr">
        <is>
          <t xml:space="preserve">Discovered</t>
        </is>
      </c>
      <c r="I22">
        <v>6</v>
      </c>
      <c r="J22">
        <v>3</v>
      </c>
      <c r="K22">
        <v>9</v>
      </c>
      <c r="L22" t="inlineStr">
        <is>
          <t xml:space="preserve">Part of approval-process rollout.</t>
        </is>
      </c>
    </row>
    <row r="23">
      <c r="A23">
        <v>12</v>
      </c>
      <c r="B23" t="inlineStr">
        <is>
          <t xml:space="preserve">Gap Analysis</t>
        </is>
      </c>
      <c r="C23" t="inlineStr">
        <is>
          <t xml:space="preserve">Organization</t>
        </is>
      </c>
      <c r="D23" t="inlineStr">
        <is>
          <t xml:space="preserve">Event Auction</t>
        </is>
      </c>
      <c r="E23" t="inlineStr">
        <is>
          <t xml:space="preserve">Auction → commission → payout not integrated.</t>
        </is>
      </c>
      <c r="F23" t="inlineStr">
        <is>
          <t xml:space="preserve">Gap – Integration</t>
        </is>
      </c>
      <c r="G23" t="inlineStr">
        <is>
          <t xml:space="preserve">Medium</t>
        </is>
      </c>
      <c r="H23" t="inlineStr">
        <is>
          <t xml:space="preserve">Discovered</t>
        </is>
      </c>
      <c r="I23">
        <v>6</v>
      </c>
      <c r="J23">
        <v>3</v>
      </c>
      <c r="K23">
        <v>9</v>
      </c>
      <c r="L23" t="inlineStr">
        <is>
          <t xml:space="preserve">Commission settlement.</t>
        </is>
      </c>
    </row>
    <row r="24">
      <c r="A24">
        <v>13</v>
      </c>
      <c r="B24" t="inlineStr">
        <is>
          <t xml:space="preserve">Gap Analysis</t>
        </is>
      </c>
      <c r="C24" t="inlineStr">
        <is>
          <t xml:space="preserve">Settings</t>
        </is>
      </c>
      <c r="D24" t="inlineStr">
        <is>
          <t xml:space="preserve">Tax</t>
        </is>
      </c>
      <c r="E24" t="inlineStr">
        <is>
          <t xml:space="preserve">No tax computation hook on transactions — tax config not applied at donation/receipt time.</t>
        </is>
      </c>
      <c r="F24" t="inlineStr">
        <is>
          <t xml:space="preserve">Gap – Integration</t>
        </is>
      </c>
      <c r="G24" t="inlineStr">
        <is>
          <t xml:space="preserve">High</t>
        </is>
      </c>
      <c r="H24" t="inlineStr">
        <is>
          <t xml:space="preserve">Discovered</t>
        </is>
      </c>
      <c r="I24">
        <v>6</v>
      </c>
      <c r="J24">
        <v>3</v>
      </c>
      <c r="K24">
        <v>9</v>
      </c>
      <c r="L24" t="inlineStr">
        <is>
          <t xml:space="preserve">Define taxable events.</t>
        </is>
      </c>
    </row>
    <row r="25">
      <c r="A25">
        <v>14</v>
      </c>
      <c r="B25" t="inlineStr">
        <is>
          <t xml:space="preserve">Gap Analysis</t>
        </is>
      </c>
      <c r="C25" t="inlineStr">
        <is>
          <t xml:space="preserve">Reports</t>
        </is>
      </c>
      <c r="D25" t="inlineStr">
        <is>
          <t xml:space="preserve">Dashboards</t>
        </is>
      </c>
      <c r="E25" t="inlineStr">
        <is>
          <t xml:space="preserve">Several module dashboards are placeholder/partial — widgets not bound to live data.</t>
        </is>
      </c>
      <c r="F25" t="inlineStr">
        <is>
          <t xml:space="preserve">Gap – Flow</t>
        </is>
      </c>
      <c r="G25" t="inlineStr">
        <is>
          <t xml:space="preserve">Medium</t>
        </is>
      </c>
      <c r="H25" t="inlineStr">
        <is>
          <t xml:space="preserve">Discovered</t>
        </is>
      </c>
      <c r="I25">
        <v>6</v>
      </c>
      <c r="J25">
        <v>3</v>
      </c>
      <c r="K25">
        <v>9</v>
      </c>
      <c r="L25" t="inlineStr">
        <is>
          <t xml:space="preserve">Finish per-module dashboards.</t>
        </is>
      </c>
    </row>
    <row r="26">
      <c r="A26">
        <v>15</v>
      </c>
      <c r="B26" t="inlineStr">
        <is>
          <t xml:space="preserve">Gap Analysis</t>
        </is>
      </c>
      <c r="C26" t="inlineStr">
        <is>
          <t xml:space="preserve">Membership</t>
        </is>
      </c>
      <c r="D26" t="inlineStr">
        <is>
          <t xml:space="preserve">Membership</t>
        </is>
      </c>
      <c r="E26" t="inlineStr">
        <is>
          <t xml:space="preserve">Renewal reminders &amp; lapse handling not wired to notification service.</t>
        </is>
      </c>
      <c r="F26" t="inlineStr">
        <is>
          <t xml:space="preserve">Gap – Integration</t>
        </is>
      </c>
      <c r="G26" t="inlineStr">
        <is>
          <t xml:space="preserve">Medium</t>
        </is>
      </c>
      <c r="H26" t="inlineStr">
        <is>
          <t xml:space="preserve">Discovered</t>
        </is>
      </c>
      <c r="I26">
        <v>4</v>
      </c>
      <c r="J26">
        <v>2</v>
      </c>
      <c r="K26">
        <v>6</v>
      </c>
      <c r="L26" t="inlineStr">
        <is>
          <t xml:space="preserve">Scheduled reminders.</t>
        </is>
      </c>
    </row>
    <row r="27">
      <c r="A27">
        <v>16</v>
      </c>
      <c r="B27" t="inlineStr">
        <is>
          <t xml:space="preserve">Code Audit</t>
        </is>
      </c>
      <c r="C27" t="inlineStr">
        <is>
          <t xml:space="preserve">Administration / System Configuration</t>
        </is>
      </c>
      <c r="D27" t="inlineStr">
        <is>
          <t xml:space="preserve">Administration &gt; Role Management &gt; Role x Capability Matrix (Tab 3, bulk save)</t>
        </is>
      </c>
      <c r="E27" t="inlineStr">
        <is>
          <t xml:space="preserve">Role-Capability Matrix Tenant Scoping: Confirmed exactly as claimed: RoleId ownership is never validated against the caller's tenant before being used as an UPSERT target for RoleCapability rows, and there is no bound on which capabilities a ROLECAPABILITY:Modify holder can gra…</t>
        </is>
      </c>
      <c r="F27" t="inlineStr">
        <is>
          <t xml:space="preserve">Fix – Security</t>
        </is>
      </c>
      <c r="G27" t="inlineStr">
        <is>
          <t xml:space="preserve">Critical</t>
        </is>
      </c>
      <c r="H27" t="inlineStr">
        <is>
          <t xml:space="preserve">Built – audit finding</t>
        </is>
      </c>
      <c r="I27">
        <v>4.0</v>
      </c>
      <c r="J27">
        <v>2.0</v>
      </c>
      <c r="K27">
        <v>6.0</v>
      </c>
      <c r="L27" t="inlineStr">
        <is>
          <t xml:space="preserve">Backlog ref #1 · verdict CONFIRMED</t>
        </is>
      </c>
    </row>
    <row r="28">
      <c r="A28">
        <v>17</v>
      </c>
      <c r="B28" t="inlineStr">
        <is>
          <t xml:space="preserve">Code Audit</t>
        </is>
      </c>
      <c r="C28" t="inlineStr">
        <is>
          <t xml:space="preserve">Administration / System Configuration</t>
        </is>
      </c>
      <c r="D28" t="inlineStr">
        <is>
          <t xml:space="preserve">Administration &gt; User Management &gt; Assign User Roles</t>
        </is>
      </c>
      <c r="E28" t="inlineStr">
        <is>
          <t xml:space="preserve">User role/company assignment tenant guard: Confirmed: no server-side check exists anywhere in this file (or in any pipeline behavior that runs before it) preventing assignment of an arbitrary RoleId (including SUPERADMIN) or an arbitrary CompanyId. I traced the global MediatR Tenan…</t>
        </is>
      </c>
      <c r="F28" t="inlineStr">
        <is>
          <t xml:space="preserve">Fix – Security</t>
        </is>
      </c>
      <c r="G28" t="inlineStr">
        <is>
          <t xml:space="preserve">Critical</t>
        </is>
      </c>
      <c r="H28" t="inlineStr">
        <is>
          <t xml:space="preserve">Built – audit finding</t>
        </is>
      </c>
      <c r="I28">
        <v>4.0</v>
      </c>
      <c r="J28">
        <v>2.0</v>
      </c>
      <c r="K28">
        <v>6.0</v>
      </c>
      <c r="L28" t="inlineStr">
        <is>
          <t xml:space="preserve">Backlog ref #2 · verdict CONFIRMED</t>
        </is>
      </c>
    </row>
    <row r="29">
      <c r="A29">
        <v>18</v>
      </c>
      <c r="B29" t="inlineStr">
        <is>
          <t xml:space="preserve">Code Audit</t>
        </is>
      </c>
      <c r="C29" t="inlineStr">
        <is>
          <t xml:space="preserve">Administration / System Configuration</t>
        </is>
      </c>
      <c r="D29" t="inlineStr">
        <is>
          <t xml:space="preserve">Audit Trail</t>
        </is>
      </c>
      <c r="E29" t="inlineStr">
        <is>
          <t xml:space="preserve">Audit log durability / at-least-once delivery: Audit writes go into a bounded in-memory Channel (capacity 10,000, DropOldest) drained by a background hosted service; any batch DB write failure is logged and the batch dropped, and any remainder at shutdown beyond a 5s window is dropped.</t>
        </is>
      </c>
      <c r="F29" t="inlineStr">
        <is>
          <t xml:space="preserve">Fix – Security</t>
        </is>
      </c>
      <c r="G29" t="inlineStr">
        <is>
          <t xml:space="preserve">Critical</t>
        </is>
      </c>
      <c r="H29" t="inlineStr">
        <is>
          <t xml:space="preserve">Built – audit finding</t>
        </is>
      </c>
      <c r="I29">
        <v>4.0</v>
      </c>
      <c r="J29">
        <v>2.0</v>
      </c>
      <c r="K29">
        <v>6.0</v>
      </c>
      <c r="L29" t="inlineStr">
        <is>
          <t xml:space="preserve">Backlog ref #3 · verdict CONFIRMED</t>
        </is>
      </c>
    </row>
    <row r="30">
      <c r="A30">
        <v>19</v>
      </c>
      <c r="B30" t="inlineStr">
        <is>
          <t xml:space="preserve">Code Audit</t>
        </is>
      </c>
      <c r="C30" t="inlineStr">
        <is>
          <t xml:space="preserve">Administration / System Configuration</t>
        </is>
      </c>
      <c r="D30" t="inlineStr">
        <is>
          <t xml:space="preserve">Company Settings — Security tab</t>
        </is>
      </c>
      <c r="E30" t="inlineStr">
        <is>
          <t xml:space="preserve">Security Settings Runtime Enforcement: The 8 Security-tab settings (SESSION_TIMEOUT, MAX_LOGIN_ATTEMPTS, TWO_FACTOR_AUTH, PASSWORD_MIN_LENGTH, PASSWORD_EXPIRY_DAYS, PASSWORD_HISTORY_COUNT, AUDIT_TRAIL_RETENTION, DELETED_RECORDS_RETENTION_DAYS) are fully persisted/validated but…</t>
        </is>
      </c>
      <c r="F30" t="inlineStr">
        <is>
          <t xml:space="preserve">Fix – Security</t>
        </is>
      </c>
      <c r="G30" t="inlineStr">
        <is>
          <t xml:space="preserve">Critical</t>
        </is>
      </c>
      <c r="H30" t="inlineStr">
        <is>
          <t xml:space="preserve">Built – audit finding</t>
        </is>
      </c>
      <c r="I30">
        <v>4.0</v>
      </c>
      <c r="J30">
        <v>2.0</v>
      </c>
      <c r="K30">
        <v>6.0</v>
      </c>
      <c r="L30" t="inlineStr">
        <is>
          <t xml:space="preserve">Backlog ref #4 · verdict CONFIRMED</t>
        </is>
      </c>
    </row>
    <row r="31">
      <c r="A31">
        <v>20</v>
      </c>
      <c r="B31" t="inlineStr">
        <is>
          <t xml:space="preserve">Code Audit</t>
        </is>
      </c>
      <c r="C31" t="inlineStr">
        <is>
          <t xml:space="preserve">Administration / System Configuration</t>
        </is>
      </c>
      <c r="D31" t="inlineStr">
        <is>
          <t xml:space="preserve">Login / Authentication</t>
        </is>
      </c>
      <c r="E31" t="inlineStr">
        <is>
          <t xml:space="preserve">Account Lock/Expiry Bypass on Login: On successful password verification, the handler unconditionally clears IsLocked and FailedLoginCount before checking whether the account was locked, and never checks AccountExpiresAt at all.</t>
        </is>
      </c>
      <c r="F31" t="inlineStr">
        <is>
          <t xml:space="preserve">Fix – Security</t>
        </is>
      </c>
      <c r="G31" t="inlineStr">
        <is>
          <t xml:space="preserve">Critical</t>
        </is>
      </c>
      <c r="H31" t="inlineStr">
        <is>
          <t xml:space="preserve">Built – audit finding</t>
        </is>
      </c>
      <c r="I31">
        <v>4.0</v>
      </c>
      <c r="J31">
        <v>2.0</v>
      </c>
      <c r="K31">
        <v>6.0</v>
      </c>
      <c r="L31" t="inlineStr">
        <is>
          <t xml:space="preserve">Backlog ref #5 · verdict CONFIRMED</t>
        </is>
      </c>
    </row>
    <row r="32">
      <c r="A32">
        <v>21</v>
      </c>
      <c r="B32" t="inlineStr">
        <is>
          <t xml:space="preserve">Code Audit</t>
        </is>
      </c>
      <c r="C32" t="inlineStr">
        <is>
          <t xml:space="preserve">Administration / System Configuration</t>
        </is>
      </c>
      <c r="D32" t="inlineStr">
        <is>
          <t xml:space="preserve">Login / User Management — Two-Factor Authentication</t>
        </is>
      </c>
      <c r="E32" t="inlineStr">
        <is>
          <t xml:space="preserve">Two-Factor Authentication Enforcement: IsTwoFactorEnabled/TwoFactorMethod (User entity) and TWO_FACTOR_AUTH (Company Settings) exist as persisted/validated fields with zero OTP/TOTP generation, delivery, or verification implementation, and no second-factor step in the Login mut…</t>
        </is>
      </c>
      <c r="F32" t="inlineStr">
        <is>
          <t xml:space="preserve">Fix – Security</t>
        </is>
      </c>
      <c r="G32" t="inlineStr">
        <is>
          <t xml:space="preserve">Critical</t>
        </is>
      </c>
      <c r="H32" t="inlineStr">
        <is>
          <t xml:space="preserve">Built – audit finding</t>
        </is>
      </c>
      <c r="I32">
        <v>4.0</v>
      </c>
      <c r="J32">
        <v>2.0</v>
      </c>
      <c r="K32">
        <v>6.0</v>
      </c>
      <c r="L32" t="inlineStr">
        <is>
          <t xml:space="preserve">Backlog ref #6 · verdict CONFIRMED</t>
        </is>
      </c>
    </row>
    <row r="33">
      <c r="A33">
        <v>22</v>
      </c>
      <c r="B33" t="inlineStr">
        <is>
          <t xml:space="preserve">Code Audit</t>
        </is>
      </c>
      <c r="C33" t="inlineStr">
        <is>
          <t xml:space="preserve">API / GraphQL Contract</t>
        </is>
      </c>
      <c r="D33" t="inlineStr">
        <is>
          <t xml:space="preserve">All GraphQL queries/mutations (global — e.g. Base.API/EndPoints/Case/Queries/Be…</t>
        </is>
      </c>
      <c r="E33" t="inlineStr">
        <is>
          <t xml:space="preserve">GraphQL error-handling contract: Every resolver wraps mediator.Send in try/catch and converts ANY exception (including FluentValidation ValidationException) into `.Error(ex.Message)` on a custom ApiResponse envelope returned with HTTP 200. HotChocolate's native GraphQL er…</t>
        </is>
      </c>
      <c r="F33" t="inlineStr">
        <is>
          <t xml:space="preserve">Fix</t>
        </is>
      </c>
      <c r="G33" t="inlineStr">
        <is>
          <t xml:space="preserve">Critical</t>
        </is>
      </c>
      <c r="H33" t="inlineStr">
        <is>
          <t xml:space="preserve">Built – audit finding</t>
        </is>
      </c>
      <c r="I33">
        <v>3.0</v>
      </c>
      <c r="J33">
        <v>1.5</v>
      </c>
      <c r="K33">
        <v>4.5</v>
      </c>
      <c r="L33" t="inlineStr">
        <is>
          <t xml:space="preserve">Backlog ref #7 · verdict CONFIRMED</t>
        </is>
      </c>
    </row>
    <row r="34">
      <c r="A34">
        <v>23</v>
      </c>
      <c r="B34" t="inlineStr">
        <is>
          <t xml:space="preserve">Code Audit</t>
        </is>
      </c>
      <c r="C34" t="inlineStr">
        <is>
          <t xml:space="preserve">API / GraphQL Contract</t>
        </is>
      </c>
      <c r="D34" t="inlineStr">
        <is>
          <t xml:space="preserve">All list/grid screens using GridFeatureRequest pagination (global)</t>
        </is>
      </c>
      <c r="E34" t="inlineStr">
        <is>
          <t xml:space="preserve">GraphQL pagination contract: `GridQueryBuilderHelper.ApplyPagination` has no upper clamp on pageSize and returns the query fully unpaginated when pageSize&lt;=0. No server-side validator enforces bounds anywhere (GridFeatureRequest is a plain record with no bounds, and g…</t>
        </is>
      </c>
      <c r="F34" t="inlineStr">
        <is>
          <t xml:space="preserve">Fix</t>
        </is>
      </c>
      <c r="G34" t="inlineStr">
        <is>
          <t xml:space="preserve">Critical</t>
        </is>
      </c>
      <c r="H34" t="inlineStr">
        <is>
          <t xml:space="preserve">Built – audit finding</t>
        </is>
      </c>
      <c r="I34">
        <v>3.0</v>
      </c>
      <c r="J34">
        <v>1.5</v>
      </c>
      <c r="K34">
        <v>4.5</v>
      </c>
      <c r="L34" t="inlineStr">
        <is>
          <t xml:space="preserve">Backlog ref #8 · verdict CONFIRMED</t>
        </is>
      </c>
    </row>
    <row r="35">
      <c r="A35">
        <v>24</v>
      </c>
      <c r="B35" t="inlineStr">
        <is>
          <t xml:space="preserve">Code Audit</t>
        </is>
      </c>
      <c r="C35" t="inlineStr">
        <is>
          <t xml:space="preserve">Background Services &amp; Scheduled Jobs</t>
        </is>
      </c>
      <c r="D35" t="inlineStr">
        <is>
          <t xml:space="preserve">Online Donations &gt; Recurring Donation Schedules</t>
        </is>
      </c>
      <c r="E35" t="inlineStr">
        <is>
          <t xml:space="preserve">PayU recurring-charge failure escalation (PASTDUE circuit breaker): Confirmed and actually WORSE than originally described. The candidate query (PayURecurringChargeService.cs:59-66) excludes schedules by raw `s.ConsecutiveFailures &lt; MaxConsecutiveFailures`, independent of whether the PASTDUE flip succeeds…</t>
        </is>
      </c>
      <c r="F35" t="inlineStr">
        <is>
          <t xml:space="preserve">Fix</t>
        </is>
      </c>
      <c r="G35" t="inlineStr">
        <is>
          <t xml:space="preserve">Critical</t>
        </is>
      </c>
      <c r="H35" t="inlineStr">
        <is>
          <t xml:space="preserve">Built – audit finding</t>
        </is>
      </c>
      <c r="I35">
        <v>3.0</v>
      </c>
      <c r="J35">
        <v>1.5</v>
      </c>
      <c r="K35">
        <v>4.5</v>
      </c>
      <c r="L35" t="inlineStr">
        <is>
          <t xml:space="preserve">Backlog ref #9 · verdict ADJUSTED</t>
        </is>
      </c>
    </row>
    <row r="36">
      <c r="A36">
        <v>25</v>
      </c>
      <c r="B36" t="inlineStr">
        <is>
          <t xml:space="preserve">Code Audit</t>
        </is>
      </c>
      <c r="C36" t="inlineStr">
        <is>
          <t xml:space="preserve">Background Services &amp; Scheduled Jobs</t>
        </is>
      </c>
      <c r="D36" t="inlineStr">
        <is>
          <t xml:space="preserve">Reports &gt; Scheduled Reports</t>
        </is>
      </c>
      <c r="E36" t="inlineStr">
        <is>
          <t xml:space="preserve">Automated report generation &amp; delivery: There is NO execution engine anywhere in the codebase for Scheduled Reports. RunScheduledReportNowHandler (Base.Application/Business/ReportBusiness/ScheduledReports/RunNowCommand/RunScheduledReportNow.cs:38-59) only inserts a ScheduledRepo…</t>
        </is>
      </c>
      <c r="F36" t="inlineStr">
        <is>
          <t xml:space="preserve">Fix</t>
        </is>
      </c>
      <c r="G36" t="inlineStr">
        <is>
          <t xml:space="preserve">Critical</t>
        </is>
      </c>
      <c r="H36" t="inlineStr">
        <is>
          <t xml:space="preserve">Built – audit finding</t>
        </is>
      </c>
      <c r="I36">
        <v>3.0</v>
      </c>
      <c r="J36">
        <v>1.5</v>
      </c>
      <c r="K36">
        <v>4.5</v>
      </c>
      <c r="L36" t="inlineStr">
        <is>
          <t xml:space="preserve">Backlog ref #10 · verdict CONFIRMED</t>
        </is>
      </c>
    </row>
    <row r="37">
      <c r="A37">
        <v>26</v>
      </c>
      <c r="B37" t="inlineStr">
        <is>
          <t xml:space="preserve">Code Audit</t>
        </is>
      </c>
      <c r="C37" t="inlineStr">
        <is>
          <t xml:space="preserve">Case Management</t>
        </is>
      </c>
      <c r="D37" t="inlineStr">
        <is>
          <t xml:space="preserve">Program Fund Allocation / Case Service Log (disbursements)</t>
        </is>
      </c>
      <c r="E37" t="inlineStr">
        <is>
          <t xml:space="preserve">Multi-currency funding-pool rollups: Verified in ServiceLogFundingGuard.cs: the per-source branch (lines 36-42) sums `t.Amount` filtered to one FundingSourceId, so it is internally currency-safe only because a single source has one CurrencyId; but the program-level fallback (…</t>
        </is>
      </c>
      <c r="F37" t="inlineStr">
        <is>
          <t xml:space="preserve">Fix – Currency</t>
        </is>
      </c>
      <c r="G37" t="inlineStr">
        <is>
          <t xml:space="preserve">Critical</t>
        </is>
      </c>
      <c r="H37" t="inlineStr">
        <is>
          <t xml:space="preserve">Built – audit finding</t>
        </is>
      </c>
      <c r="I37">
        <v>4.0</v>
      </c>
      <c r="J37">
        <v>2.0</v>
      </c>
      <c r="K37">
        <v>6.0</v>
      </c>
      <c r="L37" t="inlineStr">
        <is>
          <t xml:space="preserve">Backlog ref #11 · verdict CONFIRMED</t>
        </is>
      </c>
    </row>
    <row r="38">
      <c r="A38">
        <v>27</v>
      </c>
      <c r="B38" t="inlineStr">
        <is>
          <t xml:space="preserve">Code Audit</t>
        </is>
      </c>
      <c r="C38" t="inlineStr">
        <is>
          <t xml:space="preserve">Communication</t>
        </is>
      </c>
      <c r="D38" t="inlineStr">
        <is>
          <t xml:space="preserve">Email delivery-status webhook (Notify infrastructure, backs all Email screens)</t>
        </is>
      </c>
      <c r="E38" t="inlineStr">
        <is>
          <t xml:space="preserve">SendGrid webhook signature validation: Confirmed verbatim: lines 88-91 show `[AllowAnonymous]` with the validation attribute commented out, and line 127 fully processes attacker-supplied JSON events with no signature check whatsoever — a live, routable, unauthenticated data-mut…</t>
        </is>
      </c>
      <c r="F38" t="inlineStr">
        <is>
          <t xml:space="preserve">Fix – Security</t>
        </is>
      </c>
      <c r="G38" t="inlineStr">
        <is>
          <t xml:space="preserve">Critical</t>
        </is>
      </c>
      <c r="H38" t="inlineStr">
        <is>
          <t xml:space="preserve">Built – audit finding</t>
        </is>
      </c>
      <c r="I38">
        <v>4.0</v>
      </c>
      <c r="J38">
        <v>2.0</v>
      </c>
      <c r="K38">
        <v>6.0</v>
      </c>
      <c r="L38" t="inlineStr">
        <is>
          <t xml:space="preserve">Backlog ref #12 · verdict CONFIRMED</t>
        </is>
      </c>
    </row>
    <row r="39">
      <c r="A39">
        <v>28</v>
      </c>
      <c r="B39" t="inlineStr">
        <is>
          <t xml:space="preserve">Code Audit</t>
        </is>
      </c>
      <c r="C39" t="inlineStr">
        <is>
          <t xml:space="preserve">Communication</t>
        </is>
      </c>
      <c r="D39" t="inlineStr">
        <is>
          <t xml:space="preserve">Email Template/Campaign/SendJob (all outbound email)</t>
        </is>
      </c>
      <c r="E39" t="inlineStr">
        <is>
          <t xml:space="preserve">Unsubscribe / opt-out compliance: Confirmed: no ContactEmailAddress/Contact-level suppression flag exists anywhere in the domain model, and the one 'IsUnsubscribed' field that does exist lives per-send-record on EmailSendQueue (historical/reporting only) and is never read…</t>
        </is>
      </c>
      <c r="F39" t="inlineStr">
        <is>
          <t xml:space="preserve">Fix – Security</t>
        </is>
      </c>
      <c r="G39" t="inlineStr">
        <is>
          <t xml:space="preserve">Critical</t>
        </is>
      </c>
      <c r="H39" t="inlineStr">
        <is>
          <t xml:space="preserve">Built – audit finding</t>
        </is>
      </c>
      <c r="I39">
        <v>4.0</v>
      </c>
      <c r="J39">
        <v>2.0</v>
      </c>
      <c r="K39">
        <v>6.0</v>
      </c>
      <c r="L39" t="inlineStr">
        <is>
          <t xml:space="preserve">Backlog ref #13 · verdict CONFIRMED</t>
        </is>
      </c>
    </row>
    <row r="40">
      <c r="A40">
        <v>29</v>
      </c>
      <c r="B40" t="inlineStr">
        <is>
          <t xml:space="preserve">Code Audit</t>
        </is>
      </c>
      <c r="C40" t="inlineStr">
        <is>
          <t xml:space="preserve">Communication</t>
        </is>
      </c>
      <c r="D40" t="inlineStr">
        <is>
          <t xml:space="preserve">WhatsApp Campaign (Send Now)</t>
        </is>
      </c>
      <c r="E40" t="inlineStr">
        <is>
          <t xml:space="preserve">WhatsApp bulk campaign dispatch: Confirmed verbatim in code: line 8 TODO 'WHATSAPP_DISPATCH_SERVICE_NOT_WIRED — actual Meta Graph API send pending'; lines 80-81 'SERVICE_PLACEHOLDER: simplified opt-in resolution' / 'TODO: DYNAMIC_QUERY_RESOLVER_NOT_WIRED'; lines 82-96 use…</t>
        </is>
      </c>
      <c r="F40" t="inlineStr">
        <is>
          <t xml:space="preserve">Fix – Business Logic</t>
        </is>
      </c>
      <c r="G40" t="inlineStr">
        <is>
          <t xml:space="preserve">Critical</t>
        </is>
      </c>
      <c r="H40" t="inlineStr">
        <is>
          <t xml:space="preserve">Built – audit finding</t>
        </is>
      </c>
      <c r="I40">
        <v>3.5</v>
      </c>
      <c r="J40">
        <v>1.75</v>
      </c>
      <c r="K40">
        <v>5.25</v>
      </c>
      <c r="L40" t="inlineStr">
        <is>
          <t xml:space="preserve">Backlog ref #14 · verdict CONFIRMED</t>
        </is>
      </c>
    </row>
    <row r="41">
      <c r="A41">
        <v>30</v>
      </c>
      <c r="B41" t="inlineStr">
        <is>
          <t xml:space="preserve">Code Audit</t>
        </is>
      </c>
      <c r="C41" t="inlineStr">
        <is>
          <t xml:space="preserve">Contacts / CRM</t>
        </is>
      </c>
      <c r="D41" t="inlineStr">
        <is>
          <t xml:space="preserve">Contact (list/index)</t>
        </is>
      </c>
      <c r="E41" t="inlineStr">
        <is>
          <t xml:space="preserve">Contacts grid — GetContactsQuery: No layer in the stack (attribute, behavior, EF global filter, or handler) actually restricts the Contacts grid to the caller's CompanyId.</t>
        </is>
      </c>
      <c r="F41" t="inlineStr">
        <is>
          <t xml:space="preserve">Fix</t>
        </is>
      </c>
      <c r="G41" t="inlineStr">
        <is>
          <t xml:space="preserve">Critical</t>
        </is>
      </c>
      <c r="H41" t="inlineStr">
        <is>
          <t xml:space="preserve">Built – audit finding</t>
        </is>
      </c>
      <c r="I41">
        <v>3.0</v>
      </c>
      <c r="J41">
        <v>1.5</v>
      </c>
      <c r="K41">
        <v>4.5</v>
      </c>
      <c r="L41" t="inlineStr">
        <is>
          <t xml:space="preserve">Backlog ref #15 · verdict CONFIRMED</t>
        </is>
      </c>
    </row>
    <row r="42">
      <c r="A42">
        <v>31</v>
      </c>
      <c r="B42" t="inlineStr">
        <is>
          <t xml:space="preserve">Code Audit</t>
        </is>
      </c>
      <c r="C42" t="inlineStr">
        <is>
          <t xml:space="preserve">Contacts / CRM</t>
        </is>
      </c>
      <c r="D42" t="inlineStr">
        <is>
          <t xml:space="preserve">Duplicate Detection / Merge Contacts</t>
        </is>
      </c>
      <c r="E42" t="inlineStr">
        <is>
          <t xml:space="preserve">Duplicate detection &amp; merge engine: Both backing PostgreSQL functions are 100% commented dead code while the full C# CQRS stack (validators, handlers, GraphQL) is live and reachable from the UI.</t>
        </is>
      </c>
      <c r="F42" t="inlineStr">
        <is>
          <t xml:space="preserve">Fix</t>
        </is>
      </c>
      <c r="G42" t="inlineStr">
        <is>
          <t xml:space="preserve">Critical</t>
        </is>
      </c>
      <c r="H42" t="inlineStr">
        <is>
          <t xml:space="preserve">Built – audit finding</t>
        </is>
      </c>
      <c r="I42">
        <v>3.0</v>
      </c>
      <c r="J42">
        <v>1.5</v>
      </c>
      <c r="K42">
        <v>4.5</v>
      </c>
      <c r="L42" t="inlineStr">
        <is>
          <t xml:space="preserve">Backlog ref #16 · verdict CONFIRMED</t>
        </is>
      </c>
    </row>
    <row r="43">
      <c r="A43">
        <v>32</v>
      </c>
      <c r="B43" t="inlineStr">
        <is>
          <t xml:space="preserve">Code Audit</t>
        </is>
      </c>
      <c r="C43" t="inlineStr">
        <is>
          <t xml:space="preserve">Currency / FX / Decimal / Timezone</t>
        </is>
      </c>
      <c r="D43" t="inlineStr">
        <is>
          <t xml:space="preserve">Donation Entry — Global Donation Create/Edit Form (crm/donation/globaldonation)</t>
        </is>
      </c>
      <c r="E43" t="inlineStr">
        <is>
          <t xml:space="preserve">Manual donation entry — exchange rate persistence: The primary manual/staff Global Donation entry path (both Create and Update) accepts whatever ExchangeRate + BaseCurrencyAmount the client sends, with zero server-side verification against the authoritative FX rate table, and zero minimum-…</t>
        </is>
      </c>
      <c r="F43" t="inlineStr">
        <is>
          <t xml:space="preserve">Fix – Currency</t>
        </is>
      </c>
      <c r="G43" t="inlineStr">
        <is>
          <t xml:space="preserve">Critical</t>
        </is>
      </c>
      <c r="H43" t="inlineStr">
        <is>
          <t xml:space="preserve">Built – audit finding</t>
        </is>
      </c>
      <c r="I43">
        <v>4.0</v>
      </c>
      <c r="J43">
        <v>2.0</v>
      </c>
      <c r="K43">
        <v>6.0</v>
      </c>
      <c r="L43" t="inlineStr">
        <is>
          <t xml:space="preserve">Backlog ref #17 · verdict CONFIRMED</t>
        </is>
      </c>
    </row>
    <row r="44">
      <c r="A44">
        <v>33</v>
      </c>
      <c r="B44" t="inlineStr">
        <is>
          <t xml:space="preserve">Code Audit</t>
        </is>
      </c>
      <c r="C44" t="inlineStr">
        <is>
          <t xml:space="preserve">Data Consistency &amp; Concurrency</t>
        </is>
      </c>
      <c r="D44" t="inlineStr">
        <is>
          <t xml:space="preserve">Event Registration</t>
        </is>
      </c>
      <c r="E44" t="inlineStr">
        <is>
          <t xml:space="preserve">Create Event Registration: Verified: no transaction, no advisory lock, no FOR UPDATE anywhere in this handler — confirmed by reading the full file end-to-end. Additionally checked EventRegistrationConfiguration.cs and EventTicketConfiguration.cs for any DB-level bac…</t>
        </is>
      </c>
      <c r="F44" t="inlineStr">
        <is>
          <t xml:space="preserve">Fix – Data Integrity</t>
        </is>
      </c>
      <c r="G44" t="inlineStr">
        <is>
          <t xml:space="preserve">Critical</t>
        </is>
      </c>
      <c r="H44" t="inlineStr">
        <is>
          <t xml:space="preserve">Built – audit finding</t>
        </is>
      </c>
      <c r="I44">
        <v>3.5</v>
      </c>
      <c r="J44">
        <v>1.75</v>
      </c>
      <c r="K44">
        <v>5.25</v>
      </c>
      <c r="L44" t="inlineStr">
        <is>
          <t xml:space="preserve">Backlog ref #18 · verdict CONFIRMED</t>
        </is>
      </c>
    </row>
    <row r="45">
      <c r="A45">
        <v>34</v>
      </c>
      <c r="B45" t="inlineStr">
        <is>
          <t xml:space="preserve">Code Audit</t>
        </is>
      </c>
      <c r="C45" t="inlineStr">
        <is>
          <t xml:space="preserve">Data Consistency &amp; Concurrency</t>
        </is>
      </c>
      <c r="D45" t="inlineStr">
        <is>
          <t xml:space="preserve">Global / Cross-Cutting — Database Schema</t>
        </is>
      </c>
      <c r="E45" t="inlineStr">
        <is>
          <t xml:space="preserve">Foreign Key Delete Behavior (Company / Tenant Root): Confirmed exactly as described: the FK schema itself provides zero defense-in-depth against a hard-delete of a Company row. OnlineDonationStagingConfiguration.cs explicitly documents and correctly implements the opposite convention ('Compa…</t>
        </is>
      </c>
      <c r="F45" t="inlineStr">
        <is>
          <t xml:space="preserve">Fix – Data Integrity</t>
        </is>
      </c>
      <c r="G45" t="inlineStr">
        <is>
          <t xml:space="preserve">Critical</t>
        </is>
      </c>
      <c r="H45" t="inlineStr">
        <is>
          <t xml:space="preserve">Built – audit finding</t>
        </is>
      </c>
      <c r="I45">
        <v>3.5</v>
      </c>
      <c r="J45">
        <v>1.75</v>
      </c>
      <c r="K45">
        <v>5.25</v>
      </c>
      <c r="L45" t="inlineStr">
        <is>
          <t xml:space="preserve">Backlog ref #19 · verdict CONFIRMED</t>
        </is>
      </c>
    </row>
    <row r="46">
      <c r="A46">
        <v>35</v>
      </c>
      <c r="B46" t="inlineStr">
        <is>
          <t xml:space="preserve">Code Audit</t>
        </is>
      </c>
      <c r="C46" t="inlineStr">
        <is>
          <t xml:space="preserve">Data Consistency &amp; Concurrency</t>
        </is>
      </c>
      <c r="D46" t="inlineStr">
        <is>
          <t xml:space="preserve">Grant Management — Expenses</t>
        </is>
      </c>
      <c r="E46" t="inlineStr">
        <is>
          <t xml:space="preserve">Create Grant Expense: Confirmed as described: the transaction only guarantees the write itself is atomic; under PostgreSQL's default READ COMMITTED isolation it does not serialize concurrent readers/writers of the same Grant aggregate. Two concurrent CreateGran…</t>
        </is>
      </c>
      <c r="F46" t="inlineStr">
        <is>
          <t xml:space="preserve">Fix – Data Integrity</t>
        </is>
      </c>
      <c r="G46" t="inlineStr">
        <is>
          <t xml:space="preserve">Critical</t>
        </is>
      </c>
      <c r="H46" t="inlineStr">
        <is>
          <t xml:space="preserve">Built – audit finding</t>
        </is>
      </c>
      <c r="I46">
        <v>3.5</v>
      </c>
      <c r="J46">
        <v>1.75</v>
      </c>
      <c r="K46">
        <v>5.25</v>
      </c>
      <c r="L46" t="inlineStr">
        <is>
          <t xml:space="preserve">Backlog ref #20 · verdict CONFIRMED</t>
        </is>
      </c>
    </row>
    <row r="47">
      <c r="A47">
        <v>36</v>
      </c>
      <c r="B47" t="inlineStr">
        <is>
          <t xml:space="preserve">Code Audit</t>
        </is>
      </c>
      <c r="C47" t="inlineStr">
        <is>
          <t xml:space="preserve">Deployment · Config · Ops Readiness</t>
        </is>
      </c>
      <c r="D47" t="inlineStr">
        <is>
          <t xml:space="preserve">Cross-cutting — Backend configuration (Base.API)</t>
        </is>
      </c>
      <c r="E47" t="inlineStr">
        <is>
          <t xml:space="preserve">Secrets management: The backend .gitignore (PSS_2.0_Backend/.gitignore:55) only excludes 'appsettings.*.json' (env-suffixed variants), not the base file, and no per-environment override file exists anywhere in the repo (confirmed: repo-wide search finds exact…</t>
        </is>
      </c>
      <c r="F47" t="inlineStr">
        <is>
          <t xml:space="preserve">Ops/Config</t>
        </is>
      </c>
      <c r="G47" t="inlineStr">
        <is>
          <t xml:space="preserve">Critical</t>
        </is>
      </c>
      <c r="H47" t="inlineStr">
        <is>
          <t xml:space="preserve">Built – audit finding</t>
        </is>
      </c>
      <c r="I47">
        <v>3.5</v>
      </c>
      <c r="J47">
        <v>1.75</v>
      </c>
      <c r="K47">
        <v>5.25</v>
      </c>
      <c r="L47" t="inlineStr">
        <is>
          <t xml:space="preserve">Backlog ref #21 · verdict CONFIRMED</t>
        </is>
      </c>
    </row>
    <row r="48">
      <c r="A48">
        <v>37</v>
      </c>
      <c r="B48" t="inlineStr">
        <is>
          <t xml:space="preserve">Code Audit</t>
        </is>
      </c>
      <c r="C48" t="inlineStr">
        <is>
          <t xml:space="preserve">Deployment · Config · Ops Readiness</t>
        </is>
      </c>
      <c r="D48" t="inlineStr">
        <is>
          <t xml:space="preserve">Cross-cutting — Backend HTTP pipeline</t>
        </is>
      </c>
      <c r="E48" t="inlineStr">
        <is>
          <t xml:space="preserve">CORS configuration: Confirmed as described. There is also a second, later call `app.UseCors("CorsPolicy")` (line 388) referencing a named policy that was never registered — this is dead/vestigial middleware (ASP.NET Core's default CORS policy provider returns…</t>
        </is>
      </c>
      <c r="F48" t="inlineStr">
        <is>
          <t xml:space="preserve">Fix – Security</t>
        </is>
      </c>
      <c r="G48" t="inlineStr">
        <is>
          <t xml:space="preserve">Critical</t>
        </is>
      </c>
      <c r="H48" t="inlineStr">
        <is>
          <t xml:space="preserve">Built – audit finding</t>
        </is>
      </c>
      <c r="I48">
        <v>4.0</v>
      </c>
      <c r="J48">
        <v>2.0</v>
      </c>
      <c r="K48">
        <v>6.0</v>
      </c>
      <c r="L48" t="inlineStr">
        <is>
          <t xml:space="preserve">Backlog ref #22 · verdict CONFIRMED</t>
        </is>
      </c>
    </row>
    <row r="49">
      <c r="A49">
        <v>38</v>
      </c>
      <c r="B49" t="inlineStr">
        <is>
          <t xml:space="preserve">Code Audit</t>
        </is>
      </c>
      <c r="C49" t="inlineStr">
        <is>
          <t xml:space="preserve">Deployment · Config · Ops Readiness</t>
        </is>
      </c>
      <c r="D49" t="inlineStr">
        <is>
          <t xml:space="preserve">Cross-cutting — Frontend API base URL</t>
        </is>
      </c>
      <c r="E49" t="inlineStr">
        <is>
          <t xml:space="preserve">Environment/config management: Confirmed — this is a compile-time literal requiring manual comment/uncomment + recommit to move between environments, and its current committed state is localhost.</t>
        </is>
      </c>
      <c r="F49" t="inlineStr">
        <is>
          <t xml:space="preserve">Ops/Config</t>
        </is>
      </c>
      <c r="G49" t="inlineStr">
        <is>
          <t xml:space="preserve">Critical</t>
        </is>
      </c>
      <c r="H49" t="inlineStr">
        <is>
          <t xml:space="preserve">Built – audit finding</t>
        </is>
      </c>
      <c r="I49">
        <v>3.5</v>
      </c>
      <c r="J49">
        <v>1.75</v>
      </c>
      <c r="K49">
        <v>5.25</v>
      </c>
      <c r="L49" t="inlineStr">
        <is>
          <t xml:space="preserve">Backlog ref #23 · verdict CONFIRMED</t>
        </is>
      </c>
    </row>
    <row r="50">
      <c r="A50">
        <v>39</v>
      </c>
      <c r="B50" t="inlineStr">
        <is>
          <t xml:space="preserve">Code Audit</t>
        </is>
      </c>
      <c r="C50" t="inlineStr">
        <is>
          <t xml:space="preserve">Deployment · Config · Ops Readiness</t>
        </is>
      </c>
      <c r="D50" t="inlineStr">
        <is>
          <t xml:space="preserve">Cross-cutting — Frontend CI/CD</t>
        </is>
      </c>
      <c r="E50" t="inlineStr">
        <is>
          <t xml:space="preserve">CI/CD pipeline correctness: Reproduced the parse failure directly: running PyYAML's safe_load against the actual file produces `PARSE ERROR: while parsing a block mapping ... expected &lt;block end&gt;, but found &lt;block sequence start&gt; ... line 59, column 2` — confirming t…</t>
        </is>
      </c>
      <c r="F50" t="inlineStr">
        <is>
          <t xml:space="preserve">Ops/Config</t>
        </is>
      </c>
      <c r="G50" t="inlineStr">
        <is>
          <t xml:space="preserve">Critical</t>
        </is>
      </c>
      <c r="H50" t="inlineStr">
        <is>
          <t xml:space="preserve">Built – audit finding</t>
        </is>
      </c>
      <c r="I50">
        <v>3.5</v>
      </c>
      <c r="J50">
        <v>1.75</v>
      </c>
      <c r="K50">
        <v>5.25</v>
      </c>
      <c r="L50" t="inlineStr">
        <is>
          <t xml:space="preserve">Backlog ref #24 · verdict CONFIRMED</t>
        </is>
      </c>
    </row>
    <row r="51">
      <c r="A51">
        <v>40</v>
      </c>
      <c r="B51" t="inlineStr">
        <is>
          <t xml:space="preserve">Code Audit</t>
        </is>
      </c>
      <c r="C51" t="inlineStr">
        <is>
          <t xml:space="preserve">Deployment · Config · Ops Readiness</t>
        </is>
      </c>
      <c r="D51" t="inlineStr">
        <is>
          <t xml:space="preserve">Cross-cutting — Frontend root config</t>
        </is>
      </c>
      <c r="E51" t="inlineStr">
        <is>
          <t xml:space="preserve">Secrets management / TLS: Exactly as described — the NextAuth session-signing secret and a TLS-validation-disabling flag are both committed, tracked files rather than local-only/vaulted values.</t>
        </is>
      </c>
      <c r="F51" t="inlineStr">
        <is>
          <t xml:space="preserve">Ops/Config</t>
        </is>
      </c>
      <c r="G51" t="inlineStr">
        <is>
          <t xml:space="preserve">Critical</t>
        </is>
      </c>
      <c r="H51" t="inlineStr">
        <is>
          <t xml:space="preserve">Built – audit finding</t>
        </is>
      </c>
      <c r="I51">
        <v>3.5</v>
      </c>
      <c r="J51">
        <v>1.75</v>
      </c>
      <c r="K51">
        <v>5.25</v>
      </c>
      <c r="L51" t="inlineStr">
        <is>
          <t xml:space="preserve">Backlog ref #25 · verdict CONFIRMED</t>
        </is>
      </c>
    </row>
    <row r="52">
      <c r="A52">
        <v>41</v>
      </c>
      <c r="B52" t="inlineStr">
        <is>
          <t xml:space="preserve">Code Audit</t>
        </is>
      </c>
      <c r="C52" t="inlineStr">
        <is>
          <t xml:space="preserve">Error Handling · Logging · Monitoring</t>
        </is>
      </c>
      <c r="D52" t="inlineStr">
        <is>
          <t xml:space="preserve">Cross-cutting — all HTTP requests (fallback error path)</t>
        </is>
      </c>
      <c r="E52" t="inlineStr">
        <is>
          <t xml:space="preserve">ErrorHandlingMiddleware generic exception handling: Confirmed by reading both files: the middleware writes a response body then re-throws. Because UseHttpRequestLogging (registered first, so it wraps ErrorHandlingMiddleware in the pipeline) has its own try/catch (HttpRequestLoggingMiddlewar…</t>
        </is>
      </c>
      <c r="F52" t="inlineStr">
        <is>
          <t xml:space="preserve">Fix</t>
        </is>
      </c>
      <c r="G52" t="inlineStr">
        <is>
          <t xml:space="preserve">Critical</t>
        </is>
      </c>
      <c r="H52" t="inlineStr">
        <is>
          <t xml:space="preserve">Built – audit finding</t>
        </is>
      </c>
      <c r="I52">
        <v>3.0</v>
      </c>
      <c r="J52">
        <v>1.5</v>
      </c>
      <c r="K52">
        <v>4.5</v>
      </c>
      <c r="L52" t="inlineStr">
        <is>
          <t xml:space="preserve">Backlog ref #26 · verdict CONFIRMED</t>
        </is>
      </c>
    </row>
    <row r="53">
      <c r="A53">
        <v>42</v>
      </c>
      <c r="B53" t="inlineStr">
        <is>
          <t xml:space="preserve">Code Audit</t>
        </is>
      </c>
      <c r="C53" t="inlineStr">
        <is>
          <t xml:space="preserve">Error Handling · Logging · Monitoring</t>
        </is>
      </c>
      <c r="D53" t="inlineStr">
        <is>
          <t xml:space="preserve">Cross-cutting — GraphQL API (all mutations/queries, majority of app surface)</t>
        </is>
      </c>
      <c r="E53" t="inlineStr">
        <is>
          <t xml:space="preserve">Server-side error logging for GraphQL requests: Confirmed by direct inspection: CustomErrorFilter.cs is the only file in the entire backend containing the class name (it is never referenced elsewhere), and GraphQLRegistrationExtensions.cs (the sole place the schema is built) has no AddE…</t>
        </is>
      </c>
      <c r="F53" t="inlineStr">
        <is>
          <t xml:space="preserve">Fix</t>
        </is>
      </c>
      <c r="G53" t="inlineStr">
        <is>
          <t xml:space="preserve">Critical</t>
        </is>
      </c>
      <c r="H53" t="inlineStr">
        <is>
          <t xml:space="preserve">Built – audit finding</t>
        </is>
      </c>
      <c r="I53">
        <v>3.0</v>
      </c>
      <c r="J53">
        <v>1.5</v>
      </c>
      <c r="K53">
        <v>4.5</v>
      </c>
      <c r="L53" t="inlineStr">
        <is>
          <t xml:space="preserve">Backlog ref #27 · verdict CONFIRMED</t>
        </is>
      </c>
    </row>
    <row r="54">
      <c r="A54">
        <v>43</v>
      </c>
      <c r="B54" t="inlineStr">
        <is>
          <t xml:space="preserve">Code Audit</t>
        </is>
      </c>
      <c r="C54" t="inlineStr">
        <is>
          <t xml:space="preserve">Error Handling · Logging · Monitoring</t>
        </is>
      </c>
      <c r="D54" t="inlineStr">
        <is>
          <t xml:space="preserve">Cross-cutting — REST/Carter endpoints (webhooks, file uploads, PayU redirect en…</t>
        </is>
      </c>
      <c r="E54" t="inlineStr">
        <is>
          <t xml:space="preserve">Global exception handling middleware (IExceptionHandler): Confirmed: UseApiServices() (DependencyInjection.cs:356-400) never calls app.UseExceptionHandler(). The pipeline only wires UseHttpsRedirection, UseCors, UseHttpRequestLogging, UseMiddleware&lt;ErrorHandlingMiddleware&gt;, UseAuthentication/Auth…</t>
        </is>
      </c>
      <c r="F54" t="inlineStr">
        <is>
          <t xml:space="preserve">Fix</t>
        </is>
      </c>
      <c r="G54" t="inlineStr">
        <is>
          <t xml:space="preserve">Critical</t>
        </is>
      </c>
      <c r="H54" t="inlineStr">
        <is>
          <t xml:space="preserve">Built – audit finding</t>
        </is>
      </c>
      <c r="I54">
        <v>3.0</v>
      </c>
      <c r="J54">
        <v>1.5</v>
      </c>
      <c r="K54">
        <v>4.5</v>
      </c>
      <c r="L54" t="inlineStr">
        <is>
          <t xml:space="preserve">Backlog ref #28 · verdict CONFIRMED</t>
        </is>
      </c>
    </row>
    <row r="55">
      <c r="A55">
        <v>44</v>
      </c>
      <c r="B55" t="inlineStr">
        <is>
          <t xml:space="preserve">Code Audit</t>
        </is>
      </c>
      <c r="C55" t="inlineStr">
        <is>
          <t xml:space="preserve">Field Collection · Ambassador</t>
        </is>
      </c>
      <c r="D55" t="inlineStr">
        <is>
          <t xml:space="preserve">Record Collection (AmbassadorCollection Create/Edit)</t>
        </is>
      </c>
      <c r="E55" t="inlineStr">
        <is>
          <t xml:space="preserve">Ambassador cash collection entry: Every AmbassadorCollection created or edited through the standard UI is persisted with CompanyId = 0 instead of the authenticated user's real tenant.</t>
        </is>
      </c>
      <c r="F55" t="inlineStr">
        <is>
          <t xml:space="preserve">Fix</t>
        </is>
      </c>
      <c r="G55" t="inlineStr">
        <is>
          <t xml:space="preserve">Critical</t>
        </is>
      </c>
      <c r="H55" t="inlineStr">
        <is>
          <t xml:space="preserve">Built – audit finding</t>
        </is>
      </c>
      <c r="I55">
        <v>3.0</v>
      </c>
      <c r="J55">
        <v>1.5</v>
      </c>
      <c r="K55">
        <v>4.5</v>
      </c>
      <c r="L55" t="inlineStr">
        <is>
          <t xml:space="preserve">Backlog ref #29 · verdict CONFIRMED</t>
        </is>
      </c>
    </row>
    <row r="56">
      <c r="A56">
        <v>45</v>
      </c>
      <c r="B56" t="inlineStr">
        <is>
          <t xml:space="preserve">Code Audit</t>
        </is>
      </c>
      <c r="C56" t="inlineStr">
        <is>
          <t xml:space="preserve">Field Collection · Ambassador</t>
        </is>
      </c>
      <c r="D56" t="inlineStr">
        <is>
          <t xml:space="preserve">Record Collection / Ambassador Collection grid</t>
        </is>
      </c>
      <c r="E56" t="inlineStr">
        <is>
          <t xml:space="preserve">Approve / Void / Flag / Delete / GetById / BulkApprove on AmbassadorCollection: Every lifecycle mutation and the single-record read on AmbassadorCollection is missing tenant scoping.</t>
        </is>
      </c>
      <c r="F56" t="inlineStr">
        <is>
          <t xml:space="preserve">Fix – Security</t>
        </is>
      </c>
      <c r="G56" t="inlineStr">
        <is>
          <t xml:space="preserve">Critical</t>
        </is>
      </c>
      <c r="H56" t="inlineStr">
        <is>
          <t xml:space="preserve">Built – audit finding</t>
        </is>
      </c>
      <c r="I56">
        <v>4.0</v>
      </c>
      <c r="J56">
        <v>2.0</v>
      </c>
      <c r="K56">
        <v>6.0</v>
      </c>
      <c r="L56" t="inlineStr">
        <is>
          <t xml:space="preserve">Backlog ref #30 · verdict CONFIRMED</t>
        </is>
      </c>
    </row>
    <row r="57">
      <c r="A57">
        <v>46</v>
      </c>
      <c r="B57" t="inlineStr">
        <is>
          <t xml:space="preserve">Code Audit</t>
        </is>
      </c>
      <c r="C57" t="inlineStr">
        <is>
          <t xml:space="preserve">Field Collection · Ambassador</t>
        </is>
      </c>
      <c r="D57" t="inlineStr">
        <is>
          <t xml:space="preserve">Record Collection index page (KPI summary tiles)</t>
        </is>
      </c>
      <c r="E57" t="inlineStr">
        <is>
          <t xml:space="preserve">AmbassadorCollection Summary widget (Month-to-date amount, pending counts): The dashboard summary widget aggregates cash-collection totals and pending counts across every tenant in the database, not just the requesting user's company.</t>
        </is>
      </c>
      <c r="F57" t="inlineStr">
        <is>
          <t xml:space="preserve">Fix</t>
        </is>
      </c>
      <c r="G57" t="inlineStr">
        <is>
          <t xml:space="preserve">Critical</t>
        </is>
      </c>
      <c r="H57" t="inlineStr">
        <is>
          <t xml:space="preserve">Built – audit finding</t>
        </is>
      </c>
      <c r="I57">
        <v>3.0</v>
      </c>
      <c r="J57">
        <v>1.5</v>
      </c>
      <c r="K57">
        <v>4.5</v>
      </c>
      <c r="L57" t="inlineStr">
        <is>
          <t xml:space="preserve">Backlog ref #31 · verdict CONFIRMED</t>
        </is>
      </c>
    </row>
    <row r="58">
      <c r="A58">
        <v>47</v>
      </c>
      <c r="B58" t="inlineStr">
        <is>
          <t xml:space="preserve">Code Audit</t>
        </is>
      </c>
      <c r="C58" t="inlineStr">
        <is>
          <t xml:space="preserve">Fundraising · Campaigns &amp; Intake</t>
        </is>
      </c>
      <c r="D58" t="inlineStr">
        <is>
          <t xml:space="preserve">Donation Confirmation — P2P Campaign donation / CrowdFunding donation (contrast…</t>
        </is>
      </c>
      <c r="E58" t="inlineStr">
        <is>
          <t xml:space="preserve">Post-payment-capture ledger promotion (OnlineDonationStaging -&gt; fund.GlobalDonations): P2P and CrowdFund donation confirmations never call PromoteOnlineDonationStagingCommand (or any equivalent) -- captured payments sit in staging only until a staff member manually resolves them via the Donation Inbox (#175). ODP donations a…</t>
        </is>
      </c>
      <c r="F58" t="inlineStr">
        <is>
          <t xml:space="preserve">Fix – Data Integrity</t>
        </is>
      </c>
      <c r="G58" t="inlineStr">
        <is>
          <t xml:space="preserve">Critical</t>
        </is>
      </c>
      <c r="H58" t="inlineStr">
        <is>
          <t xml:space="preserve">Built – audit finding</t>
        </is>
      </c>
      <c r="I58">
        <v>3.5</v>
      </c>
      <c r="J58">
        <v>1.75</v>
      </c>
      <c r="K58">
        <v>5.25</v>
      </c>
      <c r="L58" t="inlineStr">
        <is>
          <t xml:space="preserve">Backlog ref #32 · verdict CONFIRMED</t>
        </is>
      </c>
    </row>
    <row r="59">
      <c r="A59">
        <v>48</v>
      </c>
      <c r="B59" t="inlineStr">
        <is>
          <t xml:space="preserve">Code Audit</t>
        </is>
      </c>
      <c r="C59" t="inlineStr">
        <is>
          <t xml:space="preserve">Fundraising · Campaigns &amp; Intake</t>
        </is>
      </c>
      <c r="D59" t="inlineStr">
        <is>
          <t xml:space="preserve">Online Donation Page / P2P Donation / CrowdFund Donation — public Initiate muta…</t>
        </is>
      </c>
      <c r="E59" t="inlineStr">
        <is>
          <t xml:space="preserve">Anti-abuse controls (reCAPTCHA + CSRF) on anonymous public payment-initiation endpoints: No real reCAPTCHA verification (no call to a provider's siteverify API) and no real CSRF protection exists on any of the three anonymous, unauthenticated public payment-initiation mutations.</t>
        </is>
      </c>
      <c r="F59" t="inlineStr">
        <is>
          <t xml:space="preserve">Fix – Security</t>
        </is>
      </c>
      <c r="G59" t="inlineStr">
        <is>
          <t xml:space="preserve">Critical</t>
        </is>
      </c>
      <c r="H59" t="inlineStr">
        <is>
          <t xml:space="preserve">Built – audit finding</t>
        </is>
      </c>
      <c r="I59">
        <v>4.0</v>
      </c>
      <c r="J59">
        <v>2.0</v>
      </c>
      <c r="K59">
        <v>6.0</v>
      </c>
      <c r="L59" t="inlineStr">
        <is>
          <t xml:space="preserve">Backlog ref #33 · verdict CONFIRMED</t>
        </is>
      </c>
    </row>
    <row r="60">
      <c r="A60">
        <v>49</v>
      </c>
      <c r="B60" t="inlineStr">
        <is>
          <t xml:space="preserve">Code Audit</t>
        </is>
      </c>
      <c r="C60" t="inlineStr">
        <is>
          <t xml:space="preserve">Fundraising · Donations &amp; Receipts</t>
        </is>
      </c>
      <c r="D60" t="inlineStr">
        <is>
          <t xml:space="preserve">Donation (Global) — Detail/View by ID</t>
        </is>
      </c>
      <c r="E60" t="inlineStr">
        <is>
          <t xml:space="preserve">Cross-tenant donation record disclosure: GetGlobalDonationByIdHandler filters only by GlobalDonationId (and IsDeleted); no CompanyId predicate anywhere in the query, validator, or AuthorizationBehavior — confirmed by reading GetGlobalDonationById.cs in full and AuthorizationBehav…</t>
        </is>
      </c>
      <c r="F60" t="inlineStr">
        <is>
          <t xml:space="preserve">Fix – Security</t>
        </is>
      </c>
      <c r="G60" t="inlineStr">
        <is>
          <t xml:space="preserve">Critical</t>
        </is>
      </c>
      <c r="H60" t="inlineStr">
        <is>
          <t xml:space="preserve">Built – audit finding</t>
        </is>
      </c>
      <c r="I60">
        <v>4.0</v>
      </c>
      <c r="J60">
        <v>2.0</v>
      </c>
      <c r="K60">
        <v>6.0</v>
      </c>
      <c r="L60" t="inlineStr">
        <is>
          <t xml:space="preserve">Backlog ref #34 · verdict CONFIRMED</t>
        </is>
      </c>
    </row>
    <row r="61">
      <c r="A61">
        <v>50</v>
      </c>
      <c r="B61" t="inlineStr">
        <is>
          <t xml:space="preserve">Code Audit</t>
        </is>
      </c>
      <c r="C61" t="inlineStr">
        <is>
          <t xml:space="preserve">Fundraising · Donations &amp; Receipts</t>
        </is>
      </c>
      <c r="D61" t="inlineStr">
        <is>
          <t xml:space="preserve">Donation In Kind (legacy Screen #7 standalone flow)</t>
        </is>
      </c>
      <c r="E61" t="inlineStr">
        <is>
          <t xml:space="preserve">Unauthorized legacy DIK mutations: All four legacy DIK CRUD commands (Create/Update/Toggle/Delete) have their [CustomAuthorize] attribute commented out, and AuthorizationBehavior explicitly no-ops when the attribute is absent, so these mutations run for any authenticated us…</t>
        </is>
      </c>
      <c r="F61" t="inlineStr">
        <is>
          <t xml:space="preserve">Fix – Security</t>
        </is>
      </c>
      <c r="G61" t="inlineStr">
        <is>
          <t xml:space="preserve">Critical</t>
        </is>
      </c>
      <c r="H61" t="inlineStr">
        <is>
          <t xml:space="preserve">Built – audit finding</t>
        </is>
      </c>
      <c r="I61">
        <v>4.0</v>
      </c>
      <c r="J61">
        <v>2.0</v>
      </c>
      <c r="K61">
        <v>6.0</v>
      </c>
      <c r="L61" t="inlineStr">
        <is>
          <t xml:space="preserve">Backlog ref #35 · verdict CONFIRMED</t>
        </is>
      </c>
    </row>
    <row r="62">
      <c r="A62">
        <v>51</v>
      </c>
      <c r="B62" t="inlineStr">
        <is>
          <t xml:space="preserve">Code Audit</t>
        </is>
      </c>
      <c r="C62" t="inlineStr">
        <is>
          <t xml:space="preserve">Fundraising · Donations &amp; Receipts</t>
        </is>
      </c>
      <c r="D62" t="inlineStr">
        <is>
          <t xml:space="preserve">In-Kind Donation — Create and Realize</t>
        </is>
      </c>
      <c r="E62" t="inlineStr">
        <is>
          <t xml:space="preserve">DIK base-currency amount missing FX conversion: Both Create (GlobalDonationCompositeWriter) and Realize (RealizeInKindDonation) set BaseCurrencyAmount equal to the raw donor-currency amount without multiplying by GlobalDonation.ExchangeRate, unlike the sibling online-donation resolution…</t>
        </is>
      </c>
      <c r="F62" t="inlineStr">
        <is>
          <t xml:space="preserve">Fix – Currency</t>
        </is>
      </c>
      <c r="G62" t="inlineStr">
        <is>
          <t xml:space="preserve">Critical</t>
        </is>
      </c>
      <c r="H62" t="inlineStr">
        <is>
          <t xml:space="preserve">Built – audit finding</t>
        </is>
      </c>
      <c r="I62">
        <v>4.0</v>
      </c>
      <c r="J62">
        <v>2.0</v>
      </c>
      <c r="K62">
        <v>6.0</v>
      </c>
      <c r="L62" t="inlineStr">
        <is>
          <t xml:space="preserve">Backlog ref #36 · verdict CONFIRMED</t>
        </is>
      </c>
    </row>
    <row r="63">
      <c r="A63">
        <v>52</v>
      </c>
      <c r="B63" t="inlineStr">
        <is>
          <t xml:space="preserve">Code Audit</t>
        </is>
      </c>
      <c r="C63" t="inlineStr">
        <is>
          <t xml:space="preserve">Fundraising · Donations &amp; Receipts</t>
        </is>
      </c>
      <c r="D63" t="inlineStr">
        <is>
          <t xml:space="preserve">In-Kind Donation entry (GlobalDonation flow, mode=DIK)</t>
        </is>
      </c>
      <c r="E63" t="inlineStr">
        <is>
          <t xml:space="preserve">Zero-distribution DIK insert crash: Zero-distribution DIK submission causes GlobalDonationCompositeWriter to insert a GlobalDonationDistribution with ParticipantRoleId = 0, but ParticipantRoleId is a non-nullable int with a required FK to MasterData (no IsRequired(false) ove…</t>
        </is>
      </c>
      <c r="F63" t="inlineStr">
        <is>
          <t xml:space="preserve">Fix</t>
        </is>
      </c>
      <c r="G63" t="inlineStr">
        <is>
          <t xml:space="preserve">Critical</t>
        </is>
      </c>
      <c r="H63" t="inlineStr">
        <is>
          <t xml:space="preserve">Built – audit finding</t>
        </is>
      </c>
      <c r="I63">
        <v>3.0</v>
      </c>
      <c r="J63">
        <v>1.5</v>
      </c>
      <c r="K63">
        <v>4.5</v>
      </c>
      <c r="L63" t="inlineStr">
        <is>
          <t xml:space="preserve">Backlog ref #37 · verdict CONFIRMED</t>
        </is>
      </c>
    </row>
    <row r="64">
      <c r="A64">
        <v>53</v>
      </c>
      <c r="B64" t="inlineStr">
        <is>
          <t xml:space="preserve">Code Audit</t>
        </is>
      </c>
      <c r="C64" t="inlineStr">
        <is>
          <t xml:space="preserve">Fundraising · Donations &amp; Receipts</t>
        </is>
      </c>
      <c r="D64" t="inlineStr">
        <is>
          <t xml:space="preserve">Matching Gift — status transition (Approve/Reject/Receive)</t>
        </is>
      </c>
      <c r="E64" t="inlineStr">
        <is>
          <t xml:space="preserve">Matching Gift status transition lookup: UpdateMatchingGiftStatus.cs resolves the target MasterData row via dbContext.MasterDatas.Where(m =&gt; m.DataValue == newCode).Select(m =&gt; m.MasterDataId).FirstOrDefaultAsync(...) with no MasterDataType.TypeCode filter and no IsDeleted filter…</t>
        </is>
      </c>
      <c r="F64" t="inlineStr">
        <is>
          <t xml:space="preserve">Fix – Data Integrity</t>
        </is>
      </c>
      <c r="G64" t="inlineStr">
        <is>
          <t xml:space="preserve">Critical</t>
        </is>
      </c>
      <c r="H64" t="inlineStr">
        <is>
          <t xml:space="preserve">Built – audit finding</t>
        </is>
      </c>
      <c r="I64">
        <v>3.5</v>
      </c>
      <c r="J64">
        <v>1.75</v>
      </c>
      <c r="K64">
        <v>5.25</v>
      </c>
      <c r="L64" t="inlineStr">
        <is>
          <t xml:space="preserve">Backlog ref #38 · verdict CONFIRMED</t>
        </is>
      </c>
    </row>
    <row r="65">
      <c r="A65">
        <v>54</v>
      </c>
      <c r="B65" t="inlineStr">
        <is>
          <t xml:space="preserve">Code Audit</t>
        </is>
      </c>
      <c r="C65" t="inlineStr">
        <is>
          <t xml:space="preserve">Fundraising · Donations &amp; Receipts</t>
        </is>
      </c>
      <c r="D65" t="inlineStr">
        <is>
          <t xml:space="preserve">Recurring Donation Schedule — detail drawer, Retry action</t>
        </is>
      </c>
      <c r="E65" t="inlineStr">
        <is>
          <t xml:space="preserve">Fake recurring-donation retry (no gateway call): RetryRecurringDonationSchedule is an explicitly labeled SERVICE_PLACEHOLDER that fabricates a successful charge (resets ConsecutiveFailures, increments TotalChargedCount, sets LastChargedDate/LastChargeStatus=SUCCESS, flips status to Activ…</t>
        </is>
      </c>
      <c r="F65" t="inlineStr">
        <is>
          <t xml:space="preserve">Fix</t>
        </is>
      </c>
      <c r="G65" t="inlineStr">
        <is>
          <t xml:space="preserve">Critical</t>
        </is>
      </c>
      <c r="H65" t="inlineStr">
        <is>
          <t xml:space="preserve">Built – audit finding</t>
        </is>
      </c>
      <c r="I65">
        <v>3.0</v>
      </c>
      <c r="J65">
        <v>1.5</v>
      </c>
      <c r="K65">
        <v>4.5</v>
      </c>
      <c r="L65" t="inlineStr">
        <is>
          <t xml:space="preserve">Backlog ref #39 · verdict CONFIRMED</t>
        </is>
      </c>
    </row>
    <row r="66">
      <c r="A66">
        <v>55</v>
      </c>
      <c r="B66" t="inlineStr">
        <is>
          <t xml:space="preserve">Code Audit</t>
        </is>
      </c>
      <c r="C66" t="inlineStr">
        <is>
          <t xml:space="preserve">Fundraising · Donations &amp; Receipts</t>
        </is>
      </c>
      <c r="D66" t="inlineStr">
        <is>
          <t xml:space="preserve">Refund (Screen #13) — Create Refund</t>
        </is>
      </c>
      <c r="E66" t="inlineStr">
        <is>
          <t xml:space="preserve">Refund payment-status resolution: CreateRefund.cs line 258 resolves the parent-donation payment-status via TypeCode=="DONATIONSTATUS", but that TypeCode is never seeded anywhere in the codebase — every other resolution site (CompleteRefund.cs:198, PromoteRecurringCycle.cs,…</t>
        </is>
      </c>
      <c r="F66" t="inlineStr">
        <is>
          <t xml:space="preserve">Fix – Business Logic</t>
        </is>
      </c>
      <c r="G66" t="inlineStr">
        <is>
          <t xml:space="preserve">Critical</t>
        </is>
      </c>
      <c r="H66" t="inlineStr">
        <is>
          <t xml:space="preserve">Built – audit finding</t>
        </is>
      </c>
      <c r="I66">
        <v>3.5</v>
      </c>
      <c r="J66">
        <v>1.75</v>
      </c>
      <c r="K66">
        <v>5.25</v>
      </c>
      <c r="L66" t="inlineStr">
        <is>
          <t xml:space="preserve">Backlog ref #40 · verdict CONFIRMED</t>
        </is>
      </c>
    </row>
    <row r="67">
      <c r="A67">
        <v>56</v>
      </c>
      <c r="B67" t="inlineStr">
        <is>
          <t xml:space="preserve">Code Audit</t>
        </is>
      </c>
      <c r="C67" t="inlineStr">
        <is>
          <t xml:space="preserve">Fundraising · Donations &amp; Receipts</t>
        </is>
      </c>
      <c r="D67" t="inlineStr">
        <is>
          <t xml:space="preserve">Refund (Screen #13) — Process Refund / gateway integration</t>
        </is>
      </c>
      <c r="E67" t="inlineStr">
        <is>
          <t xml:space="preserve">Refund gateway processing integration: No code path anywhere in the Base.Application layer calls IPaymentService.RefundAsync — ProcessRefund.cs contains only a documented SERVICE_PLACEHOLDER comment and flips RefundStatusId/ProcessingStartedDate; CreateRefund.cs and CompleteRef…</t>
        </is>
      </c>
      <c r="F67" t="inlineStr">
        <is>
          <t xml:space="preserve">Fix</t>
        </is>
      </c>
      <c r="G67" t="inlineStr">
        <is>
          <t xml:space="preserve">Critical</t>
        </is>
      </c>
      <c r="H67" t="inlineStr">
        <is>
          <t xml:space="preserve">Built – audit finding</t>
        </is>
      </c>
      <c r="I67">
        <v>3.0</v>
      </c>
      <c r="J67">
        <v>1.5</v>
      </c>
      <c r="K67">
        <v>4.5</v>
      </c>
      <c r="L67" t="inlineStr">
        <is>
          <t xml:space="preserve">Backlog ref #41 · verdict ADJUSTED</t>
        </is>
      </c>
    </row>
    <row r="68">
      <c r="A68">
        <v>57</v>
      </c>
      <c r="B68" t="inlineStr">
        <is>
          <t xml:space="preserve">Code Audit</t>
        </is>
      </c>
      <c r="C68" t="inlineStr">
        <is>
          <t xml:space="preserve">Fundraising · Donations &amp; Receipts</t>
        </is>
      </c>
      <c r="D68" t="inlineStr">
        <is>
          <t xml:space="preserve">Refund (Screen #13) — reversal integrity vs Pledge and Fund Distribution</t>
        </is>
      </c>
      <c r="E68" t="inlineStr">
        <is>
          <t xml:space="preserve">Refund reversal of pledge/distribution effects: GlobalDonationCompositeWriter.cs contains pledge-fulfillment logic (stamping PledgePayment.PaidDate/PaidAmount/PaymentStatusId, recomputing parent Pledge.PledgeStatusId to FULFILLED/OVERDUE/ONTRACK) and populates GlobalDonationDistribution…</t>
        </is>
      </c>
      <c r="F68" t="inlineStr">
        <is>
          <t xml:space="preserve">Fix – Data Integrity</t>
        </is>
      </c>
      <c r="G68" t="inlineStr">
        <is>
          <t xml:space="preserve">Critical</t>
        </is>
      </c>
      <c r="H68" t="inlineStr">
        <is>
          <t xml:space="preserve">Built – audit finding</t>
        </is>
      </c>
      <c r="I68">
        <v>3.5</v>
      </c>
      <c r="J68">
        <v>1.75</v>
      </c>
      <c r="K68">
        <v>5.25</v>
      </c>
      <c r="L68" t="inlineStr">
        <is>
          <t xml:space="preserve">Backlog ref #42 · verdict CONFIRMED</t>
        </is>
      </c>
    </row>
    <row r="69">
      <c r="A69">
        <v>58</v>
      </c>
      <c r="B69" t="inlineStr">
        <is>
          <t xml:space="preserve">Code Audit</t>
        </is>
      </c>
      <c r="C69" t="inlineStr">
        <is>
          <t xml:space="preserve">Multi-Tenancy Isolation</t>
        </is>
      </c>
      <c r="D69" t="inlineStr">
        <is>
          <t xml:space="preserve">ContactCertificates (Screen #9 area / Contact Certificate print-preview)</t>
        </is>
      </c>
      <c r="E69" t="inlineStr">
        <is>
          <t xml:space="preserve">Print Contact Certificate command: Confirmed exactly as reported. Any authenticated staff user in ANY tenant holding ContactCertificate:Read can supply an arbitrary ContactCertificateId belonging to a different tenant; the handler fetches donor financial data (TotalPaid, Mi…</t>
        </is>
      </c>
      <c r="F69" t="inlineStr">
        <is>
          <t xml:space="preserve">Fix</t>
        </is>
      </c>
      <c r="G69" t="inlineStr">
        <is>
          <t xml:space="preserve">Critical</t>
        </is>
      </c>
      <c r="H69" t="inlineStr">
        <is>
          <t xml:space="preserve">Built – audit finding</t>
        </is>
      </c>
      <c r="I69">
        <v>3.0</v>
      </c>
      <c r="J69">
        <v>1.5</v>
      </c>
      <c r="K69">
        <v>4.5</v>
      </c>
      <c r="L69" t="inlineStr">
        <is>
          <t xml:space="preserve">Backlog ref #43 · verdict CONFIRMED</t>
        </is>
      </c>
    </row>
    <row r="70">
      <c r="A70">
        <v>59</v>
      </c>
      <c r="B70" t="inlineStr">
        <is>
          <t xml:space="preserve">Code Audit</t>
        </is>
      </c>
      <c r="C70" t="inlineStr">
        <is>
          <t xml:space="preserve">Multi-Tenancy Isolation</t>
        </is>
      </c>
      <c r="D70" t="inlineStr">
        <is>
          <t xml:space="preserve">ContactCertificates (Screen #9 area / Contact Certificate print-preview)</t>
        </is>
      </c>
      <c r="E70" t="inlineStr">
        <is>
          <t xml:space="preserve">Preview Contact Certificate command: Confirmed exactly as reported — identical cross-tenant IDOR to Print, but this variant is strictly worse in one respect: there is no ITenantContext dependency at all (not even an unused fetch), and no write side-effect, so a staff user fro…</t>
        </is>
      </c>
      <c r="F70" t="inlineStr">
        <is>
          <t xml:space="preserve">Fix</t>
        </is>
      </c>
      <c r="G70" t="inlineStr">
        <is>
          <t xml:space="preserve">Critical</t>
        </is>
      </c>
      <c r="H70" t="inlineStr">
        <is>
          <t xml:space="preserve">Built – audit finding</t>
        </is>
      </c>
      <c r="I70">
        <v>3.0</v>
      </c>
      <c r="J70">
        <v>1.5</v>
      </c>
      <c r="K70">
        <v>4.5</v>
      </c>
      <c r="L70" t="inlineStr">
        <is>
          <t xml:space="preserve">Backlog ref #44 · verdict CONFIRMED</t>
        </is>
      </c>
    </row>
    <row r="71">
      <c r="A71">
        <v>60</v>
      </c>
      <c r="B71" t="inlineStr">
        <is>
          <t xml:space="preserve">Code Audit</t>
        </is>
      </c>
      <c r="C71" t="inlineStr">
        <is>
          <t xml:space="preserve">Multi-Tenancy Isolation</t>
        </is>
      </c>
      <c r="D71" t="inlineStr">
        <is>
          <t xml:space="preserve">Cross-cutting / all public (anonymous) GraphQL endpoints</t>
        </is>
      </c>
      <c r="E71" t="inlineStr">
        <is>
          <t xml:space="preserve">Tenant-resolution architecture for unauthenticated requests: Confirmed — there is no automatic, framework-level protection for public endpoints; each new anonymous handler must manually re-implement CompanyId scoping (typically via hostname resolution) with zero compile-time/test-time enforcement. T…</t>
        </is>
      </c>
      <c r="F71" t="inlineStr">
        <is>
          <t xml:space="preserve">Fix</t>
        </is>
      </c>
      <c r="G71" t="inlineStr">
        <is>
          <t xml:space="preserve">Critical</t>
        </is>
      </c>
      <c r="H71" t="inlineStr">
        <is>
          <t xml:space="preserve">Built – audit finding</t>
        </is>
      </c>
      <c r="I71">
        <v>3.0</v>
      </c>
      <c r="J71">
        <v>1.5</v>
      </c>
      <c r="K71">
        <v>4.5</v>
      </c>
      <c r="L71" t="inlineStr">
        <is>
          <t xml:space="preserve">Backlog ref #45 · verdict CONFIRMED</t>
        </is>
      </c>
    </row>
    <row r="72">
      <c r="A72">
        <v>61</v>
      </c>
      <c r="B72" t="inlineStr">
        <is>
          <t xml:space="preserve">Code Audit</t>
        </is>
      </c>
      <c r="C72" t="inlineStr">
        <is>
          <t xml:space="preserve">Multi-Tenancy Isolation</t>
        </is>
      </c>
      <c r="D72" t="inlineStr">
        <is>
          <t xml:space="preserve">VolunteerRegistrationPage public page (Screen #172)</t>
        </is>
      </c>
      <c r="E72" t="inlineStr">
        <is>
          <t xml:space="preserve">Public GetBySlug tenant resolution: Confirmed exactly as reported — this shortcut applies unconditionally in production. The query record does accept an unused `tenantSlug` parameter (line 19) that is never read in the handler body, confirming the multi-tenant path was scaff…</t>
        </is>
      </c>
      <c r="F72" t="inlineStr">
        <is>
          <t xml:space="preserve">Fix</t>
        </is>
      </c>
      <c r="G72" t="inlineStr">
        <is>
          <t xml:space="preserve">Critical</t>
        </is>
      </c>
      <c r="H72" t="inlineStr">
        <is>
          <t xml:space="preserve">Built – audit finding</t>
        </is>
      </c>
      <c r="I72">
        <v>3.0</v>
      </c>
      <c r="J72">
        <v>1.5</v>
      </c>
      <c r="K72">
        <v>4.5</v>
      </c>
      <c r="L72" t="inlineStr">
        <is>
          <t xml:space="preserve">Backlog ref #46 · verdict CONFIRMED</t>
        </is>
      </c>
    </row>
    <row r="73">
      <c r="A73">
        <v>62</v>
      </c>
      <c r="B73" t="inlineStr">
        <is>
          <t xml:space="preserve">Code Audit</t>
        </is>
      </c>
      <c r="C73" t="inlineStr">
        <is>
          <t xml:space="preserve">Organization · Events &amp; Staff</t>
        </is>
      </c>
      <c r="D73" t="inlineStr">
        <is>
          <t xml:space="preserve">Auction Management</t>
        </is>
      </c>
      <c r="E73" t="inlineStr">
        <is>
          <t xml:space="preserve">Multi-tenant isolation (CompanyId scoping): Any authenticated staff user with AuctionItem.Modify/Delete permission in ANY company/tenant can pass an arbitrary auctionItemId belonging to a DIFFERENT tenant and successfully bid on, award, pause/resume, adjust the reserve of, record pa…</t>
        </is>
      </c>
      <c r="F73" t="inlineStr">
        <is>
          <t xml:space="preserve">Fix – Security</t>
        </is>
      </c>
      <c r="G73" t="inlineStr">
        <is>
          <t xml:space="preserve">Critical</t>
        </is>
      </c>
      <c r="H73" t="inlineStr">
        <is>
          <t xml:space="preserve">Built – audit finding</t>
        </is>
      </c>
      <c r="I73">
        <v>4.0</v>
      </c>
      <c r="J73">
        <v>2.0</v>
      </c>
      <c r="K73">
        <v>6.0</v>
      </c>
      <c r="L73" t="inlineStr">
        <is>
          <t xml:space="preserve">Backlog ref #47 · verdict CONFIRMED</t>
        </is>
      </c>
    </row>
    <row r="74">
      <c r="A74">
        <v>63</v>
      </c>
      <c r="B74" t="inlineStr">
        <is>
          <t xml:space="preserve">Code Audit</t>
        </is>
      </c>
      <c r="C74" t="inlineStr">
        <is>
          <t xml:space="preserve">Organization · Events &amp; Staff</t>
        </is>
      </c>
      <c r="D74" t="inlineStr">
        <is>
          <t xml:space="preserve">Campaign Dashboard</t>
        </is>
      </c>
      <c r="E74" t="inlineStr">
        <is>
          <t xml:space="preserve">Fundraising progress tracking (TotalDonationCount / TotalDonorCount / ProgressPercentage): There is no real write path anywhere in the codebase that updates Campaign.ProgressPercentage, TotalDonorCount, or TotalDonationCount from actual donation activity. A repo-wide grep for assignments to these three fields returns exactly one…</t>
        </is>
      </c>
      <c r="F74" t="inlineStr">
        <is>
          <t xml:space="preserve">Fix – Data Integrity</t>
        </is>
      </c>
      <c r="G74" t="inlineStr">
        <is>
          <t xml:space="preserve">Critical</t>
        </is>
      </c>
      <c r="H74" t="inlineStr">
        <is>
          <t xml:space="preserve">Built – audit finding</t>
        </is>
      </c>
      <c r="I74">
        <v>3.5</v>
      </c>
      <c r="J74">
        <v>1.75</v>
      </c>
      <c r="K74">
        <v>5.25</v>
      </c>
      <c r="L74" t="inlineStr">
        <is>
          <t xml:space="preserve">Backlog ref #48 · verdict ADJUSTED</t>
        </is>
      </c>
    </row>
    <row r="75">
      <c r="A75">
        <v>64</v>
      </c>
      <c r="B75" t="inlineStr">
        <is>
          <t xml:space="preserve">Code Audit</t>
        </is>
      </c>
      <c r="C75" t="inlineStr">
        <is>
          <t xml:space="preserve">Organization · Events &amp; Staff</t>
        </is>
      </c>
      <c r="D75" t="inlineStr">
        <is>
          <t xml:space="preserve">Event Ticketing — Public Registration Checkout</t>
        </is>
      </c>
      <c r="E75" t="inlineStr">
        <is>
          <t xml:space="preserve">Per-ticket-type capacity enforcement: A specific ticket type (e.g. a 20-seat VIP tier) can be oversold indefinitely through the public checkout as long as the overall event-level capacity has room, because QuantityAvailable is never checked at submission time.</t>
        </is>
      </c>
      <c r="F75" t="inlineStr">
        <is>
          <t xml:space="preserve">Fix – Data Integrity</t>
        </is>
      </c>
      <c r="G75" t="inlineStr">
        <is>
          <t xml:space="preserve">Critical</t>
        </is>
      </c>
      <c r="H75" t="inlineStr">
        <is>
          <t xml:space="preserve">Built – audit finding</t>
        </is>
      </c>
      <c r="I75">
        <v>3.5</v>
      </c>
      <c r="J75">
        <v>1.75</v>
      </c>
      <c r="K75">
        <v>5.25</v>
      </c>
      <c r="L75" t="inlineStr">
        <is>
          <t xml:space="preserve">Backlog ref #49 · verdict CONFIRMED</t>
        </is>
      </c>
    </row>
    <row r="76">
      <c r="A76">
        <v>65</v>
      </c>
      <c r="B76" t="inlineStr">
        <is>
          <t xml:space="preserve">Code Audit</t>
        </is>
      </c>
      <c r="C76" t="inlineStr">
        <is>
          <t xml:space="preserve">Organization · Events &amp; Staff</t>
        </is>
      </c>
      <c r="D76" t="inlineStr">
        <is>
          <t xml:space="preserve">Event Ticketing / Event Dashboard / Analytics</t>
        </is>
      </c>
      <c r="E76" t="inlineStr">
        <is>
          <t xml:space="preserve">Registration status resolution consistency: Registrations submitted through the public registration page (the primary real-world intake channel) are excluded from revenue totals (GetAllEventTicket.cs lines 81-88), the event dashboard (GetEventDashboardById.cs lines 81-91), and — mos…</t>
        </is>
      </c>
      <c r="F76" t="inlineStr">
        <is>
          <t xml:space="preserve">Fix – Data Integrity</t>
        </is>
      </c>
      <c r="G76" t="inlineStr">
        <is>
          <t xml:space="preserve">Critical</t>
        </is>
      </c>
      <c r="H76" t="inlineStr">
        <is>
          <t xml:space="preserve">Built – audit finding</t>
        </is>
      </c>
      <c r="I76">
        <v>3.5</v>
      </c>
      <c r="J76">
        <v>1.75</v>
      </c>
      <c r="K76">
        <v>5.25</v>
      </c>
      <c r="L76" t="inlineStr">
        <is>
          <t xml:space="preserve">Backlog ref #50 · verdict ADJUSTED</t>
        </is>
      </c>
    </row>
    <row r="77">
      <c r="A77">
        <v>66</v>
      </c>
      <c r="B77" t="inlineStr">
        <is>
          <t xml:space="preserve">Code Audit</t>
        </is>
      </c>
      <c r="C77" t="inlineStr">
        <is>
          <t xml:space="preserve">Organization · Events &amp; Staff</t>
        </is>
      </c>
      <c r="D77" t="inlineStr">
        <is>
          <t xml:space="preserve">Organization · Staff — Create/Edit</t>
        </is>
      </c>
      <c r="E77" t="inlineStr">
        <is>
          <t xml:space="preserve">Staff role assignment on create: A newly created staff member's selected role is silently discarded server-side; the user account is created with zero roles assigned, since CreateUser.cs (lines 84-92) confirms RolesToAssign is the only mechanism that actually grants roles…</t>
        </is>
      </c>
      <c r="F77" t="inlineStr">
        <is>
          <t xml:space="preserve">Fix – Data Integrity</t>
        </is>
      </c>
      <c r="G77" t="inlineStr">
        <is>
          <t xml:space="preserve">Critical</t>
        </is>
      </c>
      <c r="H77" t="inlineStr">
        <is>
          <t xml:space="preserve">Built – audit finding</t>
        </is>
      </c>
      <c r="I77">
        <v>3.5</v>
      </c>
      <c r="J77">
        <v>1.75</v>
      </c>
      <c r="K77">
        <v>5.25</v>
      </c>
      <c r="L77" t="inlineStr">
        <is>
          <t xml:space="preserve">Backlog ref #51 · verdict ADJUSTED</t>
        </is>
      </c>
    </row>
    <row r="78">
      <c r="A78">
        <v>67</v>
      </c>
      <c r="B78" t="inlineStr">
        <is>
          <t xml:space="preserve">Code Audit</t>
        </is>
      </c>
      <c r="C78" t="inlineStr">
        <is>
          <t xml:space="preserve">Payments &amp; Reconciliation</t>
        </is>
      </c>
      <c r="D78" t="inlineStr">
        <is>
          <t xml:space="preserve">Payment Webhooks — Braintree / Razorpay / PayU controllers</t>
        </is>
      </c>
      <c r="E78" t="inlineStr">
        <is>
          <t xml:space="preserve">Payment webhook duplicate-event race condition: PaymentWebhookLogConfiguration.cs:1-25 contains no HasIndex call at all on GatewayEventId (verified — only column-length/required config, no index of any kind). The in-app dedup check at RazorpayWebhookController.cs:163-181 compares agains…</t>
        </is>
      </c>
      <c r="F78" t="inlineStr">
        <is>
          <t xml:space="preserve">Fix</t>
        </is>
      </c>
      <c r="G78" t="inlineStr">
        <is>
          <t xml:space="preserve">Critical</t>
        </is>
      </c>
      <c r="H78" t="inlineStr">
        <is>
          <t xml:space="preserve">Built – audit finding</t>
        </is>
      </c>
      <c r="I78">
        <v>3.0</v>
      </c>
      <c r="J78">
        <v>1.5</v>
      </c>
      <c r="K78">
        <v>4.5</v>
      </c>
      <c r="L78" t="inlineStr">
        <is>
          <t xml:space="preserve">Backlog ref #52 · verdict CONFIRMED</t>
        </is>
      </c>
    </row>
    <row r="79">
      <c r="A79">
        <v>68</v>
      </c>
      <c r="B79" t="inlineStr">
        <is>
          <t xml:space="preserve">Code Audit</t>
        </is>
      </c>
      <c r="C79" t="inlineStr">
        <is>
          <t xml:space="preserve">Payments &amp; Reconciliation</t>
        </is>
      </c>
      <c r="D79" t="inlineStr">
        <is>
          <t xml:space="preserve">Refund Management (Screen #14 area) — CreateRefund / ApproveRefund / ProcessRef…</t>
        </is>
      </c>
      <c r="E79" t="inlineStr">
        <is>
          <t xml:space="preserve">Refund lifecycle has no real gateway integration: CreateRefund.cs:238-251,360-408 sets RefundStatusId to REF (born-complete) and only updates GlobalDonation ledger fields inside a CreateExecutionStrategy/BeginTransactionAsync block — IPaymentService.RefundAsync is never called anywhere in…</t>
        </is>
      </c>
      <c r="F79" t="inlineStr">
        <is>
          <t xml:space="preserve">Fix</t>
        </is>
      </c>
      <c r="G79" t="inlineStr">
        <is>
          <t xml:space="preserve">Critical</t>
        </is>
      </c>
      <c r="H79" t="inlineStr">
        <is>
          <t xml:space="preserve">Built – audit finding</t>
        </is>
      </c>
      <c r="I79">
        <v>3.0</v>
      </c>
      <c r="J79">
        <v>1.5</v>
      </c>
      <c r="K79">
        <v>4.5</v>
      </c>
      <c r="L79" t="inlineStr">
        <is>
          <t xml:space="preserve">Backlog ref #53 · verdict CONFIRMED</t>
        </is>
      </c>
    </row>
    <row r="80">
      <c r="A80">
        <v>69</v>
      </c>
      <c r="B80" t="inlineStr">
        <is>
          <t xml:space="preserve">Code Audit</t>
        </is>
      </c>
      <c r="C80" t="inlineStr">
        <is>
          <t xml:space="preserve">Performance &amp; Scalability</t>
        </is>
      </c>
      <c r="D80" t="inlineStr">
        <is>
          <t xml:space="preserve">All MASTER_GRID screens (system-wide)</t>
        </is>
      </c>
      <c r="E80" t="inlineStr">
        <is>
          <t xml:space="preserve">Grid custom-field (JSONB) sorting: Any grid screen sorting by a custom/dynamic (JSONB) field loads the ENTIRE filtered result set into application memory before paginating, with zero row ceiling.</t>
        </is>
      </c>
      <c r="F80" t="inlineStr">
        <is>
          <t xml:space="preserve">Fix – Performance</t>
        </is>
      </c>
      <c r="G80" t="inlineStr">
        <is>
          <t xml:space="preserve">Critical</t>
        </is>
      </c>
      <c r="H80" t="inlineStr">
        <is>
          <t xml:space="preserve">Built – audit finding</t>
        </is>
      </c>
      <c r="I80">
        <v>4.0</v>
      </c>
      <c r="J80">
        <v>2.0</v>
      </c>
      <c r="K80">
        <v>6.0</v>
      </c>
      <c r="L80" t="inlineStr">
        <is>
          <t xml:space="preserve">Backlog ref #54 · verdict CONFIRMED</t>
        </is>
      </c>
    </row>
    <row r="81">
      <c r="A81">
        <v>70</v>
      </c>
      <c r="B81" t="inlineStr">
        <is>
          <t xml:space="preserve">Code Audit</t>
        </is>
      </c>
      <c r="C81" t="inlineStr">
        <is>
          <t xml:space="preserve">Prayer · Certificate · General Masters</t>
        </is>
      </c>
      <c r="D81" t="inlineStr">
        <is>
          <t xml:space="preserve">Certificate Management — Process/Print tab</t>
        </is>
      </c>
      <c r="E81" t="inlineStr">
        <is>
          <t xml:space="preserve">Print/Preview certificate — cross-tenant record access: Any authenticated staff user (only Permissions.Read required) in any tenant can pass an arbitrary ContactCertificateId belonging to a different company and receive that company's donor PII (name, image, donation amounts, purpose) rendered…</t>
        </is>
      </c>
      <c r="F81" t="inlineStr">
        <is>
          <t xml:space="preserve">Fix – Security</t>
        </is>
      </c>
      <c r="G81" t="inlineStr">
        <is>
          <t xml:space="preserve">Critical</t>
        </is>
      </c>
      <c r="H81" t="inlineStr">
        <is>
          <t xml:space="preserve">Built – audit finding</t>
        </is>
      </c>
      <c r="I81">
        <v>4.0</v>
      </c>
      <c r="J81">
        <v>2.0</v>
      </c>
      <c r="K81">
        <v>6.0</v>
      </c>
      <c r="L81" t="inlineStr">
        <is>
          <t xml:space="preserve">Backlog ref #55 · verdict CONFIRMED</t>
        </is>
      </c>
    </row>
    <row r="82">
      <c r="A82">
        <v>71</v>
      </c>
      <c r="B82" t="inlineStr">
        <is>
          <t xml:space="preserve">Code Audit</t>
        </is>
      </c>
      <c r="C82" t="inlineStr">
        <is>
          <t xml:space="preserve">QA &amp; Testing Gaps</t>
        </is>
      </c>
      <c r="D82" t="inlineStr">
        <is>
          <t xml:space="preserve">All COMPLETED screens (per REGISTRY.md)</t>
        </is>
      </c>
      <c r="E82" t="inlineStr">
        <is>
          <t xml:space="preserve">E2E test coverage breadth: Automated Playwright coverage exists for ~1% of shipped screens; 0/47 manual test tasks in the tracker have been executed.</t>
        </is>
      </c>
      <c r="F82" t="inlineStr">
        <is>
          <t xml:space="preserve">Testing</t>
        </is>
      </c>
      <c r="G82" t="inlineStr">
        <is>
          <t xml:space="preserve">Critical</t>
        </is>
      </c>
      <c r="H82" t="inlineStr">
        <is>
          <t xml:space="preserve">Built – audit finding</t>
        </is>
      </c>
      <c r="I82">
        <v>5.5</v>
      </c>
      <c r="J82">
        <v>2.75</v>
      </c>
      <c r="K82">
        <v>8.25</v>
      </c>
      <c r="L82" t="inlineStr">
        <is>
          <t xml:space="preserve">Backlog ref #56 · verdict ADJUSTED</t>
        </is>
      </c>
    </row>
    <row r="83">
      <c r="A83">
        <v>72</v>
      </c>
      <c r="B83" t="inlineStr">
        <is>
          <t xml:space="preserve">Code Audit</t>
        </is>
      </c>
      <c r="C83" t="inlineStr">
        <is>
          <t xml:space="preserve">QA &amp; Testing Gaps</t>
        </is>
      </c>
      <c r="D83" t="inlineStr">
        <is>
          <t xml:space="preserve">All screens / multi-tenant data model</t>
        </is>
      </c>
      <c r="E83" t="inlineStr">
        <is>
          <t xml:space="preserve">Tenant-isolation testing: No EF Core global query filter for CompanyId exists as a defense-in-depth safety net, and no automated test (BE or E2E) asserts any handler is correctly tenant-scoped.</t>
        </is>
      </c>
      <c r="F83" t="inlineStr">
        <is>
          <t xml:space="preserve">Fix</t>
        </is>
      </c>
      <c r="G83" t="inlineStr">
        <is>
          <t xml:space="preserve">Critical</t>
        </is>
      </c>
      <c r="H83" t="inlineStr">
        <is>
          <t xml:space="preserve">Built – audit finding</t>
        </is>
      </c>
      <c r="I83">
        <v>3.0</v>
      </c>
      <c r="J83">
        <v>1.5</v>
      </c>
      <c r="K83">
        <v>4.5</v>
      </c>
      <c r="L83" t="inlineStr">
        <is>
          <t xml:space="preserve">Backlog ref #57 · verdict CONFIRMED</t>
        </is>
      </c>
    </row>
    <row r="84">
      <c r="A84">
        <v>73</v>
      </c>
      <c r="B84" t="inlineStr">
        <is>
          <t xml:space="preserve">Code Audit</t>
        </is>
      </c>
      <c r="C84" t="inlineStr">
        <is>
          <t xml:space="preserve">QA &amp; Testing Gaps</t>
        </is>
      </c>
      <c r="D84" t="inlineStr">
        <is>
          <t xml:space="preserve">CI/CD pipeline (Azure Pipelines)</t>
        </is>
      </c>
      <c r="E84" t="inlineStr">
        <is>
          <t xml:space="preserve">Automated test gate before deploy: No `pnpm test`/Playwright/`dotnet test` step gates the deploy; a syntactically-valid but functionally-broken build ships as soon as `pnpm build` succeeds.</t>
        </is>
      </c>
      <c r="F84" t="inlineStr">
        <is>
          <t xml:space="preserve">Ops/Config</t>
        </is>
      </c>
      <c r="G84" t="inlineStr">
        <is>
          <t xml:space="preserve">Critical</t>
        </is>
      </c>
      <c r="H84" t="inlineStr">
        <is>
          <t xml:space="preserve">Built – audit finding</t>
        </is>
      </c>
      <c r="I84">
        <v>3.5</v>
      </c>
      <c r="J84">
        <v>1.75</v>
      </c>
      <c r="K84">
        <v>5.25</v>
      </c>
      <c r="L84" t="inlineStr">
        <is>
          <t xml:space="preserve">Backlog ref #58 · verdict CONFIRMED</t>
        </is>
      </c>
    </row>
    <row r="85">
      <c r="A85">
        <v>74</v>
      </c>
      <c r="B85" t="inlineStr">
        <is>
          <t xml:space="preserve">Code Audit</t>
        </is>
      </c>
      <c r="C85" t="inlineStr">
        <is>
          <t xml:space="preserve">QA &amp; Testing Gaps</t>
        </is>
      </c>
      <c r="D85" t="inlineStr">
        <is>
          <t xml:space="preserve">Entire Backend (all 175+ screens/entities)</t>
        </is>
      </c>
      <c r="E85" t="inlineStr">
        <is>
          <t xml:space="preserve">Backend automated test coverage: Zero unit/integration tests for the entire .NET 8 backend; no xunit/nunit/Moq package reference in any csproj.</t>
        </is>
      </c>
      <c r="F85" t="inlineStr">
        <is>
          <t xml:space="preserve">Testing</t>
        </is>
      </c>
      <c r="G85" t="inlineStr">
        <is>
          <t xml:space="preserve">Critical</t>
        </is>
      </c>
      <c r="H85" t="inlineStr">
        <is>
          <t xml:space="preserve">Built – audit finding</t>
        </is>
      </c>
      <c r="I85">
        <v>5.5</v>
      </c>
      <c r="J85">
        <v>2.75</v>
      </c>
      <c r="K85">
        <v>8.25</v>
      </c>
      <c r="L85" t="inlineStr">
        <is>
          <t xml:space="preserve">Backlog ref #59 · verdict CONFIRMED</t>
        </is>
      </c>
    </row>
    <row r="86">
      <c r="A86">
        <v>75</v>
      </c>
      <c r="B86" t="inlineStr">
        <is>
          <t xml:space="preserve">Code Audit</t>
        </is>
      </c>
      <c r="C86" t="inlineStr">
        <is>
          <t xml:space="preserve">QA &amp; Testing Gaps</t>
        </is>
      </c>
      <c r="D86" t="inlineStr">
        <is>
          <t xml:space="preserve">Online Donation Page (#10, EXTERNAL_PAGE / public anonymous surface)</t>
        </is>
      </c>
      <c r="E86" t="inlineStr">
        <is>
          <t xml:space="preserve">Public-facing hardening tests (CSRF, honeypot, rate-limit, reCAPTCHA): CSRF, honeypot, rate-limit, and reCAPTCHA verification remain unautomated stubs; the one recorded run never executed even the real smoke tests (missing E2E credentials).</t>
        </is>
      </c>
      <c r="F86" t="inlineStr">
        <is>
          <t xml:space="preserve">Fix – Security</t>
        </is>
      </c>
      <c r="G86" t="inlineStr">
        <is>
          <t xml:space="preserve">Critical</t>
        </is>
      </c>
      <c r="H86" t="inlineStr">
        <is>
          <t xml:space="preserve">Built – audit finding</t>
        </is>
      </c>
      <c r="I86">
        <v>4.0</v>
      </c>
      <c r="J86">
        <v>2.0</v>
      </c>
      <c r="K86">
        <v>6.0</v>
      </c>
      <c r="L86" t="inlineStr">
        <is>
          <t xml:space="preserve">Backlog ref #60 · verdict ADJUSTED</t>
        </is>
      </c>
    </row>
    <row r="87">
      <c r="A87">
        <v>76</v>
      </c>
      <c r="B87" t="inlineStr">
        <is>
          <t xml:space="preserve">Code Audit</t>
        </is>
      </c>
      <c r="C87" t="inlineStr">
        <is>
          <t xml:space="preserve">Reports</t>
        </is>
      </c>
      <c r="D87" t="inlineStr">
        <is>
          <t xml:space="preserve">Custom Report Builder</t>
        </is>
      </c>
      <c r="E87" t="inlineStr">
        <is>
          <t xml:space="preserve">Preview / Run / Export of a user-designed custom report: None of Preview, Run, or Export ever executes the user's actual report definition against real data; all three are fabricated or no-op.</t>
        </is>
      </c>
      <c r="F87" t="inlineStr">
        <is>
          <t xml:space="preserve">Fix</t>
        </is>
      </c>
      <c r="G87" t="inlineStr">
        <is>
          <t xml:space="preserve">Critical</t>
        </is>
      </c>
      <c r="H87" t="inlineStr">
        <is>
          <t xml:space="preserve">Built – audit finding</t>
        </is>
      </c>
      <c r="I87">
        <v>3.0</v>
      </c>
      <c r="J87">
        <v>1.5</v>
      </c>
      <c r="K87">
        <v>4.5</v>
      </c>
      <c r="L87" t="inlineStr">
        <is>
          <t xml:space="preserve">Backlog ref #61 · verdict CONFIRMED</t>
        </is>
      </c>
    </row>
    <row r="88">
      <c r="A88">
        <v>77</v>
      </c>
      <c r="B88" t="inlineStr">
        <is>
          <t xml:space="preserve">Code Audit</t>
        </is>
      </c>
      <c r="C88" t="inlineStr">
        <is>
          <t xml:space="preserve">Reports</t>
        </is>
      </c>
      <c r="D88" t="inlineStr">
        <is>
          <t xml:space="preserve">Generate Report (Export to Excel)</t>
        </is>
      </c>
      <c r="E88" t="inlineStr">
        <is>
          <t xml:space="preserve">Report export via ExportReportQuery/ExportReportHandler: Confirmed the underlying Postgres function signature is `rep.donation_summary_report(p_filter_json jsonb DEFAULT NULL, p_page integer DEFAULT 0, p_page_size integer DEFAULT 10, p_user_id integer DEFAULT NULL, p_report_mode text DEFAULT 'vi…</t>
        </is>
      </c>
      <c r="F88" t="inlineStr">
        <is>
          <t xml:space="preserve">Fix</t>
        </is>
      </c>
      <c r="G88" t="inlineStr">
        <is>
          <t xml:space="preserve">Critical</t>
        </is>
      </c>
      <c r="H88" t="inlineStr">
        <is>
          <t xml:space="preserve">Built – audit finding</t>
        </is>
      </c>
      <c r="I88">
        <v>3.0</v>
      </c>
      <c r="J88">
        <v>1.5</v>
      </c>
      <c r="K88">
        <v>4.5</v>
      </c>
      <c r="L88" t="inlineStr">
        <is>
          <t xml:space="preserve">Backlog ref #62 · verdict CONFIRMED</t>
        </is>
      </c>
    </row>
    <row r="89">
      <c r="A89">
        <v>78</v>
      </c>
      <c r="B89" t="inlineStr">
        <is>
          <t xml:space="preserve">Code Audit</t>
        </is>
      </c>
      <c r="C89" t="inlineStr">
        <is>
          <t xml:space="preserve">Reports</t>
        </is>
      </c>
      <c r="D89" t="inlineStr">
        <is>
          <t xml:space="preserve">Scheduled Reports</t>
        </is>
      </c>
      <c r="E89" t="inlineStr">
        <is>
          <t xml:space="preserve">Automatic scheduled execution + Run Now: No job ever wires ScheduledReport.CronExpression to Hangfire, and no job ever performs report generation, rendering, or delivery for scheduled runs; even the manual Run Now path leaves the run permanently stuck at RUNNING.</t>
        </is>
      </c>
      <c r="F89" t="inlineStr">
        <is>
          <t xml:space="preserve">Ops/Config</t>
        </is>
      </c>
      <c r="G89" t="inlineStr">
        <is>
          <t xml:space="preserve">Critical</t>
        </is>
      </c>
      <c r="H89" t="inlineStr">
        <is>
          <t xml:space="preserve">Built – audit finding</t>
        </is>
      </c>
      <c r="I89">
        <v>3.5</v>
      </c>
      <c r="J89">
        <v>1.75</v>
      </c>
      <c r="K89">
        <v>5.25</v>
      </c>
      <c r="L89" t="inlineStr">
        <is>
          <t xml:space="preserve">Backlog ref #63 · verdict CONFIRMED</t>
        </is>
      </c>
    </row>
    <row r="90">
      <c r="A90">
        <v>79</v>
      </c>
      <c r="B90" t="inlineStr">
        <is>
          <t xml:space="preserve">Code Audit</t>
        </is>
      </c>
      <c r="C90" t="inlineStr">
        <is>
          <t xml:space="preserve">Root · Auth · Layout · Dashboards</t>
        </is>
      </c>
      <c r="D90" t="inlineStr">
        <is>
          <t xml:space="preserve">Main Dashboard (Master Landing Page)</t>
        </is>
      </c>
      <c r="E90" t="inlineStr">
        <is>
          <t xml:space="preserve">KPI Snapshot / Goals &amp; Targets / Upcoming widgets: KpiSnapshotRow, MissionProgressStrip and UpcomingStrip render fully hardcoded, static in-component `KpiCard[]`/`ProgressRow[]`/`UpcomingItem[]` arrays (Donations Today 12,450 +18.2%; Donation Goal 34,200/50,000 68%; Annual Donor Gala May 2…</t>
        </is>
      </c>
      <c r="F90" t="inlineStr">
        <is>
          <t xml:space="preserve">Fix – Business Logic</t>
        </is>
      </c>
      <c r="G90" t="inlineStr">
        <is>
          <t xml:space="preserve">Critical</t>
        </is>
      </c>
      <c r="H90" t="inlineStr">
        <is>
          <t xml:space="preserve">Built – audit finding</t>
        </is>
      </c>
      <c r="I90">
        <v>3.5</v>
      </c>
      <c r="J90">
        <v>1.75</v>
      </c>
      <c r="K90">
        <v>5.25</v>
      </c>
      <c r="L90" t="inlineStr">
        <is>
          <t xml:space="preserve">Backlog ref #64 · verdict CONFIRMED</t>
        </is>
      </c>
    </row>
    <row r="91">
      <c r="A91">
        <v>80</v>
      </c>
      <c r="B91" t="inlineStr">
        <is>
          <t xml:space="preserve">Code Audit</t>
        </is>
      </c>
      <c r="C91" t="inlineStr">
        <is>
          <t xml:space="preserve">Root · Auth · Layout · Dashboards</t>
        </is>
      </c>
      <c r="D91" t="inlineStr">
        <is>
          <t xml:space="preserve">Root / Session handling (all authenticated screens)</t>
        </is>
      </c>
      <c r="E91" t="inlineStr">
        <is>
          <t xml:space="preserve">Access-token refresh: The frontend never calls the backend's RefreshToken mutation. NextAuth's `jwt` callback (auth.ts) only sets token.accessToken/refreshToken/expiresIn once from `user` at initial sign-in and has no branch that checks expiry or calls RefreshT…</t>
        </is>
      </c>
      <c r="F91" t="inlineStr">
        <is>
          <t xml:space="preserve">Fix</t>
        </is>
      </c>
      <c r="G91" t="inlineStr">
        <is>
          <t xml:space="preserve">Critical</t>
        </is>
      </c>
      <c r="H91" t="inlineStr">
        <is>
          <t xml:space="preserve">Built – audit finding</t>
        </is>
      </c>
      <c r="I91">
        <v>3.0</v>
      </c>
      <c r="J91">
        <v>1.5</v>
      </c>
      <c r="K91">
        <v>4.5</v>
      </c>
      <c r="L91" t="inlineStr">
        <is>
          <t xml:space="preserve">Backlog ref #65 · verdict CONFIRMED</t>
        </is>
      </c>
    </row>
    <row r="92">
      <c r="A92">
        <v>81</v>
      </c>
      <c r="B92" t="inlineStr">
        <is>
          <t xml:space="preserve">Code Audit</t>
        </is>
      </c>
      <c r="C92" t="inlineStr">
        <is>
          <t xml:space="preserve">Security &amp; Access Control</t>
        </is>
      </c>
      <c r="D92" t="inlineStr">
        <is>
          <t xml:space="preserve">Auth — GetUserRefreshTokens (session/refresh-token disclosure)</t>
        </is>
      </c>
      <c r="E92" t="inlineStr">
        <is>
          <t xml:space="preserve">Refresh token disclosure / session hijack: GetUserRefreshTokensQuery has its [CustomAuthorize] attribute commented out and takes a raw int userId from the caller with no ownership check. Exposed via GraphQL GetUserRefreshTokens(userId), this lets an unauthenticated or any authentic…</t>
        </is>
      </c>
      <c r="F92" t="inlineStr">
        <is>
          <t xml:space="preserve">Fix – Security</t>
        </is>
      </c>
      <c r="G92" t="inlineStr">
        <is>
          <t xml:space="preserve">Critical</t>
        </is>
      </c>
      <c r="H92" t="inlineStr">
        <is>
          <t xml:space="preserve">Built – audit finding</t>
        </is>
      </c>
      <c r="I92">
        <v>4.0</v>
      </c>
      <c r="J92">
        <v>2.0</v>
      </c>
      <c r="K92">
        <v>6.0</v>
      </c>
      <c r="L92" t="inlineStr">
        <is>
          <t xml:space="preserve">Backlog ref #66 · verdict CONFIRMED</t>
        </is>
      </c>
    </row>
    <row r="93">
      <c r="A93">
        <v>82</v>
      </c>
      <c r="B93" t="inlineStr">
        <is>
          <t xml:space="preserve">Code Audit</t>
        </is>
      </c>
      <c r="C93" t="inlineStr">
        <is>
          <t xml:space="preserve">Security &amp; Access Control</t>
        </is>
      </c>
      <c r="D93" t="inlineStr">
        <is>
          <t xml:space="preserve">Contacts / Data Import (bulk Excel import)</t>
        </is>
      </c>
      <c r="E93" t="inlineStr">
        <is>
          <t xml:space="preserve">Unauthorized bulk data import pipeline: The actual file-upload/parse/execute pipeline that writes rows into staging and ultimately production tables has no authorization check at either the controller or CQRS layer, and the pipeline behavior is proven to skip auth entirely when…</t>
        </is>
      </c>
      <c r="F93" t="inlineStr">
        <is>
          <t xml:space="preserve">Fix – Security</t>
        </is>
      </c>
      <c r="G93" t="inlineStr">
        <is>
          <t xml:space="preserve">Critical</t>
        </is>
      </c>
      <c r="H93" t="inlineStr">
        <is>
          <t xml:space="preserve">Built – audit finding</t>
        </is>
      </c>
      <c r="I93">
        <v>4.0</v>
      </c>
      <c r="J93">
        <v>2.0</v>
      </c>
      <c r="K93">
        <v>6.0</v>
      </c>
      <c r="L93" t="inlineStr">
        <is>
          <t xml:space="preserve">Backlog ref #67 · verdict CONFIRMED</t>
        </is>
      </c>
    </row>
    <row r="94">
      <c r="A94">
        <v>83</v>
      </c>
      <c r="B94" t="inlineStr">
        <is>
          <t xml:space="preserve">Code Audit</t>
        </is>
      </c>
      <c r="C94" t="inlineStr">
        <is>
          <t xml:space="preserve">Security &amp; Access Control</t>
        </is>
      </c>
      <c r="D94" t="inlineStr">
        <is>
          <t xml:space="preserve">CQRS AuthorizationBehavior pipeline — default-open</t>
        </is>
      </c>
      <c r="E94" t="inlineStr">
        <is>
          <t xml:space="preserve">CQRS authorization pipeline default-open behavior: AuthorizationBehavior only enforces access control when the request type carries a [CustomAuthorize] attribute; if absent, return await next() executes with zero authentication/authorization check. Combined with GraphQL registration only c…</t>
        </is>
      </c>
      <c r="F94" t="inlineStr">
        <is>
          <t xml:space="preserve">Fix – Security</t>
        </is>
      </c>
      <c r="G94" t="inlineStr">
        <is>
          <t xml:space="preserve">Critical</t>
        </is>
      </c>
      <c r="H94" t="inlineStr">
        <is>
          <t xml:space="preserve">Built – audit finding</t>
        </is>
      </c>
      <c r="I94">
        <v>4.0</v>
      </c>
      <c r="J94">
        <v>2.0</v>
      </c>
      <c r="K94">
        <v>6.0</v>
      </c>
      <c r="L94" t="inlineStr">
        <is>
          <t xml:space="preserve">Backlog ref #68 · verdict CONFIRMED</t>
        </is>
      </c>
    </row>
    <row r="95">
      <c r="A95">
        <v>84</v>
      </c>
      <c r="B95" t="inlineStr">
        <is>
          <t xml:space="preserve">Code Audit</t>
        </is>
      </c>
      <c r="C95" t="inlineStr">
        <is>
          <t xml:space="preserve">Security &amp; Access Control</t>
        </is>
      </c>
      <c r="D95" t="inlineStr">
        <is>
          <t xml:space="preserve">Global / All GraphQL mutations &amp; queries (single /graphql endpoint)</t>
        </is>
      </c>
      <c r="E95" t="inlineStr">
        <is>
          <t xml:space="preserve">GraphQL request/response PII logging: Because ALL GraphQL traffic (every mutation/query for the whole app) goes through the single /graphql path and the default logging level is Information (appsettings.json:17 Default: Information), this middleware writes every donor's PII an…</t>
        </is>
      </c>
      <c r="F95" t="inlineStr">
        <is>
          <t xml:space="preserve">Fix – Security</t>
        </is>
      </c>
      <c r="G95" t="inlineStr">
        <is>
          <t xml:space="preserve">Critical</t>
        </is>
      </c>
      <c r="H95" t="inlineStr">
        <is>
          <t xml:space="preserve">Built – audit finding</t>
        </is>
      </c>
      <c r="I95">
        <v>4.0</v>
      </c>
      <c r="J95">
        <v>2.0</v>
      </c>
      <c r="K95">
        <v>6.0</v>
      </c>
      <c r="L95" t="inlineStr">
        <is>
          <t xml:space="preserve">Backlog ref #69 · verdict CONFIRMED</t>
        </is>
      </c>
    </row>
    <row r="96">
      <c r="A96">
        <v>85</v>
      </c>
      <c r="B96" t="inlineStr">
        <is>
          <t xml:space="preserve">Code Audit</t>
        </is>
      </c>
      <c r="C96" t="inlineStr">
        <is>
          <t xml:space="preserve">Security &amp; Access Control</t>
        </is>
      </c>
      <c r="D96" t="inlineStr">
        <is>
          <t xml:space="preserve">Global / Backend Configuration (Base.API/appsettings.json)</t>
        </is>
      </c>
      <c r="E96" t="inlineStr">
        <is>
          <t xml:space="preserve">Secrets committed to source control in plaintext: All master keys and DB credentials are committed to source control in plaintext with no secret-manager/Key Vault indirection.</t>
        </is>
      </c>
      <c r="F96" t="inlineStr">
        <is>
          <t xml:space="preserve">Fix – Security</t>
        </is>
      </c>
      <c r="G96" t="inlineStr">
        <is>
          <t xml:space="preserve">Critical</t>
        </is>
      </c>
      <c r="H96" t="inlineStr">
        <is>
          <t xml:space="preserve">Built – audit finding</t>
        </is>
      </c>
      <c r="I96">
        <v>4.0</v>
      </c>
      <c r="J96">
        <v>2.0</v>
      </c>
      <c r="K96">
        <v>6.0</v>
      </c>
      <c r="L96" t="inlineStr">
        <is>
          <t xml:space="preserve">Backlog ref #70 · verdict CONFIRMED</t>
        </is>
      </c>
    </row>
    <row r="97">
      <c r="A97">
        <v>86</v>
      </c>
      <c r="B97" t="inlineStr">
        <is>
          <t xml:space="preserve">Code Audit</t>
        </is>
      </c>
      <c r="C97" t="inlineStr">
        <is>
          <t xml:space="preserve">Security &amp; Access Control</t>
        </is>
      </c>
      <c r="D97" t="inlineStr">
        <is>
          <t xml:space="preserve">Global CORS policy</t>
        </is>
      </c>
      <c r="E97" t="inlineStr">
        <is>
          <t xml:space="preserve">Global CORS credential policy: CORS is configured with .SetIsOriginAllowed(_ =&gt; true).AllowCredentials() in Base.API/DependencyInjection.cs (UseApiServices), which allows every origin to make credentialed requests (cookies/auth headers) to the API — functionally equival…</t>
        </is>
      </c>
      <c r="F97" t="inlineStr">
        <is>
          <t xml:space="preserve">Fix – Security</t>
        </is>
      </c>
      <c r="G97" t="inlineStr">
        <is>
          <t xml:space="preserve">Critical</t>
        </is>
      </c>
      <c r="H97" t="inlineStr">
        <is>
          <t xml:space="preserve">Built – audit finding</t>
        </is>
      </c>
      <c r="I97">
        <v>4.0</v>
      </c>
      <c r="J97">
        <v>2.0</v>
      </c>
      <c r="K97">
        <v>6.0</v>
      </c>
      <c r="L97" t="inlineStr">
        <is>
          <t xml:space="preserve">Backlog ref #71 · verdict CONFIRMED</t>
        </is>
      </c>
    </row>
    <row r="98">
      <c r="A98">
        <v>87</v>
      </c>
      <c r="B98" t="inlineStr">
        <is>
          <t xml:space="preserve">Code Audit</t>
        </is>
      </c>
      <c r="C98" t="inlineStr">
        <is>
          <t xml:space="preserve">Security &amp; Access Control</t>
        </is>
      </c>
      <c r="D98" t="inlineStr">
        <is>
          <t xml:space="preserve">Media / Image Upload (used by logo, banner, profile-photo uploads across the ap…</t>
        </is>
      </c>
      <c r="E98" t="inlineStr">
        <is>
          <t xml:space="preserve">Unauthenticated public media upload: POST /api/media/upload is reachable with zero authentication and uploads directly to a publicly readable blob container.</t>
        </is>
      </c>
      <c r="F98" t="inlineStr">
        <is>
          <t xml:space="preserve">Fix – Security</t>
        </is>
      </c>
      <c r="G98" t="inlineStr">
        <is>
          <t xml:space="preserve">Critical</t>
        </is>
      </c>
      <c r="H98" t="inlineStr">
        <is>
          <t xml:space="preserve">Built – audit finding</t>
        </is>
      </c>
      <c r="I98">
        <v>4.0</v>
      </c>
      <c r="J98">
        <v>2.0</v>
      </c>
      <c r="K98">
        <v>6.0</v>
      </c>
      <c r="L98" t="inlineStr">
        <is>
          <t xml:space="preserve">Backlog ref #72 · verdict CONFIRMED</t>
        </is>
      </c>
    </row>
    <row r="99">
      <c r="A99">
        <v>88</v>
      </c>
      <c r="B99" t="inlineStr">
        <is>
          <t xml:space="preserve">Code Audit</t>
        </is>
      </c>
      <c r="C99" t="inlineStr">
        <is>
          <t xml:space="preserve">Security &amp; Access Control</t>
        </is>
      </c>
      <c r="D99" t="inlineStr">
        <is>
          <t xml:space="preserve">Secrets in source-controlled appsettings.json</t>
        </is>
      </c>
      <c r="E99" t="inlineStr">
        <is>
          <t xml:space="preserve">Secrets committed to source control: Base.API/appsettings.json commits the JWT RSA private key (JwtSettings:PrivateKey), a live Postgres connection string with plaintext username/password, the Security:EncryptionKey, PaymentGateway:CredentialEncryptionKey, and SendGrid:Webhoo…</t>
        </is>
      </c>
      <c r="F99" t="inlineStr">
        <is>
          <t xml:space="preserve">Fix – Security</t>
        </is>
      </c>
      <c r="G99" t="inlineStr">
        <is>
          <t xml:space="preserve">Critical</t>
        </is>
      </c>
      <c r="H99" t="inlineStr">
        <is>
          <t xml:space="preserve">Built – audit finding</t>
        </is>
      </c>
      <c r="I99">
        <v>4.0</v>
      </c>
      <c r="J99">
        <v>2.0</v>
      </c>
      <c r="K99">
        <v>6.0</v>
      </c>
      <c r="L99" t="inlineStr">
        <is>
          <t xml:space="preserve">Backlog ref #73 · verdict CONFIRMED</t>
        </is>
      </c>
    </row>
    <row r="100">
      <c r="A100">
        <v>89</v>
      </c>
      <c r="B100" t="inlineStr">
        <is>
          <t xml:space="preserve">Code Audit</t>
        </is>
      </c>
      <c r="C100" t="inlineStr">
        <is>
          <t xml:space="preserve">Security &amp; Access Control</t>
        </is>
      </c>
      <c r="D100" t="inlineStr">
        <is>
          <t xml:space="preserve">Settings / SMS Setup, WhatsApp Setup, Accounting Integrations</t>
        </is>
      </c>
      <c r="E100" t="inlineStr">
        <is>
          <t xml:space="preserve">Plaintext third-party integration credentials: Every third-party messaging/accounting integration credential is stored in the database in plaintext, in direct contrast to the payment-gateway path.</t>
        </is>
      </c>
      <c r="F100" t="inlineStr">
        <is>
          <t xml:space="preserve">Fix – Security</t>
        </is>
      </c>
      <c r="G100" t="inlineStr">
        <is>
          <t xml:space="preserve">Critical</t>
        </is>
      </c>
      <c r="H100" t="inlineStr">
        <is>
          <t xml:space="preserve">Built – audit finding</t>
        </is>
      </c>
      <c r="I100">
        <v>4.0</v>
      </c>
      <c r="J100">
        <v>2.0</v>
      </c>
      <c r="K100">
        <v>6.0</v>
      </c>
      <c r="L100" t="inlineStr">
        <is>
          <t xml:space="preserve">Backlog ref #74 · verdict CONFIRMED</t>
        </is>
      </c>
    </row>
    <row r="101">
      <c r="A101">
        <v>90</v>
      </c>
      <c r="B101" t="inlineStr">
        <is>
          <t xml:space="preserve">Code Audit</t>
        </is>
      </c>
      <c r="C101" t="inlineStr">
        <is>
          <t xml:space="preserve">Settings &amp; Configuration</t>
        </is>
      </c>
      <c r="D101" t="inlineStr">
        <is>
          <t xml:space="preserve">Company Email Provider (Settings &gt; Notify &gt; Email Providers)</t>
        </is>
      </c>
      <c r="E101" t="inlineStr">
        <is>
          <t xml:space="preserve">GetCompanyEmailProviderById / UpdateCompanyEmailProvider: The original finding characterized this as a full decrypted-secret read leak; that is overstated for GetById (secrets ARE masked there). The real, unmitigated gap is (a) cross-tenant metadata read via GetById, and (b) cross-tenant WRITE/ov…</t>
        </is>
      </c>
      <c r="F101" t="inlineStr">
        <is>
          <t xml:space="preserve">Fix</t>
        </is>
      </c>
      <c r="G101" t="inlineStr">
        <is>
          <t xml:space="preserve">Critical</t>
        </is>
      </c>
      <c r="H101" t="inlineStr">
        <is>
          <t xml:space="preserve">Built – audit finding</t>
        </is>
      </c>
      <c r="I101">
        <v>3.0</v>
      </c>
      <c r="J101">
        <v>1.5</v>
      </c>
      <c r="K101">
        <v>4.5</v>
      </c>
      <c r="L101" t="inlineStr">
        <is>
          <t xml:space="preserve">Backlog ref #75 · verdict ADJUSTED</t>
        </is>
      </c>
    </row>
    <row r="102">
      <c r="A102">
        <v>91</v>
      </c>
      <c r="B102" t="inlineStr">
        <is>
          <t xml:space="preserve">Code Audit</t>
        </is>
      </c>
      <c r="C102" t="inlineStr">
        <is>
          <t xml:space="preserve">Settings &amp; Configuration</t>
        </is>
      </c>
      <c r="D102" t="inlineStr">
        <is>
          <t xml:space="preserve">Company Payment Gateway (Settings &gt; Payment Gateways)</t>
        </is>
      </c>
      <c r="E102" t="inlineStr">
        <is>
          <t xml:space="preserve">GetCompanyPaymentGatewayById / UpdateCompanyPaymentGateway / DeleteCompanyPaymentGateway: Any authenticated user who can guess/enumerate a `CompanyPaymentGatewayId` belonging to a DIFFERENT tenant can read that tenant's fully-decrypted payment gateway API key/secret/webhook secret, and can also overwrite or soft-delete that oth…</t>
        </is>
      </c>
      <c r="F102" t="inlineStr">
        <is>
          <t xml:space="preserve">Fix</t>
        </is>
      </c>
      <c r="G102" t="inlineStr">
        <is>
          <t xml:space="preserve">Critical</t>
        </is>
      </c>
      <c r="H102" t="inlineStr">
        <is>
          <t xml:space="preserve">Built – audit finding</t>
        </is>
      </c>
      <c r="I102">
        <v>3.0</v>
      </c>
      <c r="J102">
        <v>1.5</v>
      </c>
      <c r="K102">
        <v>4.5</v>
      </c>
      <c r="L102" t="inlineStr">
        <is>
          <t xml:space="preserve">Backlog ref #76 · verdict CONFIRMED</t>
        </is>
      </c>
    </row>
    <row r="103">
      <c r="A103">
        <v>92</v>
      </c>
      <c r="B103" t="inlineStr">
        <is>
          <t xml:space="preserve">Code Audit</t>
        </is>
      </c>
      <c r="C103" t="inlineStr">
        <is>
          <t xml:space="preserve">Settings &amp; Configuration</t>
        </is>
      </c>
      <c r="D103" t="inlineStr">
        <is>
          <t xml:space="preserve">Grid Configuration (Settings &gt; System &gt; Grid Layout Designer)</t>
        </is>
      </c>
      <c r="E103" t="inlineStr">
        <is>
          <t xml:space="preserve">BulkUpdateGridConfiguration: Grid column-layout/configuration customization made by any ONE tenant (e.g., reordering/resizing/hiding grid columns on a shared screen) silently overwrites the SAME global row and is immediately visible to and imposed on EVERY OTHER TENAN…</t>
        </is>
      </c>
      <c r="F103" t="inlineStr">
        <is>
          <t xml:space="preserve">Fix – Data Integrity</t>
        </is>
      </c>
      <c r="G103" t="inlineStr">
        <is>
          <t xml:space="preserve">Critical</t>
        </is>
      </c>
      <c r="H103" t="inlineStr">
        <is>
          <t xml:space="preserve">Built – audit finding</t>
        </is>
      </c>
      <c r="I103">
        <v>3.5</v>
      </c>
      <c r="J103">
        <v>1.75</v>
      </c>
      <c r="K103">
        <v>5.25</v>
      </c>
      <c r="L103" t="inlineStr">
        <is>
          <t xml:space="preserve">Backlog ref #77 · verdict CONFIRMED</t>
        </is>
      </c>
    </row>
    <row r="104">
      <c r="A104">
        <v>93</v>
      </c>
      <c r="B104" t="inlineStr">
        <is>
          <t xml:space="preserve">Code Audit</t>
        </is>
      </c>
      <c r="C104" t="inlineStr">
        <is>
          <t xml:space="preserve">Settings &amp; Configuration</t>
        </is>
      </c>
      <c r="D104" t="inlineStr">
        <is>
          <t xml:space="preserve">Master Data (Settings &gt; System &gt; Master Data)</t>
        </is>
      </c>
      <c r="E104" t="inlineStr">
        <is>
          <t xml:space="preserve">UpdateMasterData / DeleteMasterData: Any user with Modify/Delete capability on the MasterData module can edit or soft-delete SYSTEM master-data rows (e.g., core lookup values like DONATIONTYPE, PAYMENTSTATUS codes referenced by hardcoded string matches throughout the codebase…</t>
        </is>
      </c>
      <c r="F104" t="inlineStr">
        <is>
          <t xml:space="preserve">Fix – Data Integrity</t>
        </is>
      </c>
      <c r="G104" t="inlineStr">
        <is>
          <t xml:space="preserve">Critical</t>
        </is>
      </c>
      <c r="H104" t="inlineStr">
        <is>
          <t xml:space="preserve">Built – audit finding</t>
        </is>
      </c>
      <c r="I104">
        <v>3.5</v>
      </c>
      <c r="J104">
        <v>1.75</v>
      </c>
      <c r="K104">
        <v>5.25</v>
      </c>
      <c r="L104" t="inlineStr">
        <is>
          <t xml:space="preserve">Backlog ref #78 · verdict CONFIRMED</t>
        </is>
      </c>
    </row>
    <row r="105">
      <c r="A105">
        <v>94</v>
      </c>
      <c r="B105" t="inlineStr">
        <is>
          <t xml:space="preserve">Code Audit</t>
        </is>
      </c>
      <c r="C105" t="inlineStr">
        <is>
          <t xml:space="preserve">Settings &amp; Configuration</t>
        </is>
      </c>
      <c r="D105" t="inlineStr">
        <is>
          <t xml:space="preserve">Organization Bank Accounts (Settings &gt; Organization &gt; Bank Accounts)</t>
        </is>
      </c>
      <c r="E105" t="inlineStr">
        <is>
          <t xml:space="preserve">GetOrganizationBankAccounts (grid) / GetOrganizationBankAccountById: This is worse than a typical single-row IDOR: the ordinary grid/list screen (no ID guessing required) discloses ALL tenants' organization bank accounts (bank name, branch, account name, currency, masked/partial account number) to any authe…</t>
        </is>
      </c>
      <c r="F105" t="inlineStr">
        <is>
          <t xml:space="preserve">Fix</t>
        </is>
      </c>
      <c r="G105" t="inlineStr">
        <is>
          <t xml:space="preserve">Critical</t>
        </is>
      </c>
      <c r="H105" t="inlineStr">
        <is>
          <t xml:space="preserve">Built – audit finding</t>
        </is>
      </c>
      <c r="I105">
        <v>3.0</v>
      </c>
      <c r="J105">
        <v>1.5</v>
      </c>
      <c r="K105">
        <v>4.5</v>
      </c>
      <c r="L105" t="inlineStr">
        <is>
          <t xml:space="preserve">Backlog ref #79 · verdict CONFIRMED</t>
        </is>
      </c>
    </row>
    <row r="106">
      <c r="A106">
        <v>95</v>
      </c>
      <c r="B106" t="inlineStr">
        <is>
          <t xml:space="preserve">Code Audit</t>
        </is>
      </c>
      <c r="C106" t="inlineStr">
        <is>
          <t xml:space="preserve">Settings &amp; Configuration</t>
        </is>
      </c>
      <c r="D106" t="inlineStr">
        <is>
          <t xml:space="preserve">Region Hierarchy Import (Settings &gt; System &gt; Regions &gt; Import CSV)</t>
        </is>
      </c>
      <c r="E106" t="inlineStr">
        <is>
          <t xml:space="preserve">ImportRegionsCommand: The CSV region-import mutation, which creates/modifies GLOBAL reference data (Country/State/District/City/Locality/Pincode — none of these entities carry a CompanyId; they are shared across ALL tenants system-wide), has zero permission/cap…</t>
        </is>
      </c>
      <c r="F106" t="inlineStr">
        <is>
          <t xml:space="preserve">Fix</t>
        </is>
      </c>
      <c r="G106" t="inlineStr">
        <is>
          <t xml:space="preserve">Critical</t>
        </is>
      </c>
      <c r="H106" t="inlineStr">
        <is>
          <t xml:space="preserve">Built – audit finding</t>
        </is>
      </c>
      <c r="I106">
        <v>3.0</v>
      </c>
      <c r="J106">
        <v>1.5</v>
      </c>
      <c r="K106">
        <v>4.5</v>
      </c>
      <c r="L106" t="inlineStr">
        <is>
          <t xml:space="preserve">Backlog ref #80 · verdict CONFIRMED</t>
        </is>
      </c>
    </row>
    <row r="107">
      <c r="A107">
        <v>96</v>
      </c>
      <c r="B107" t="inlineStr">
        <is>
          <t xml:space="preserve">Code Audit</t>
        </is>
      </c>
      <c r="C107" t="inlineStr">
        <is>
          <t xml:space="preserve">UI/UX &amp; Design-System Compliance</t>
        </is>
      </c>
      <c r="D107" t="inlineStr">
        <is>
          <t xml:space="preserve">All MASTER_GRID screens (every grid using action-column-cell) — confirmed via a…</t>
        </is>
      </c>
      <c r="E107" t="inlineStr">
        <is>
          <t xml:space="preserve">Grid row-action buttons (View/Edit/Delete/Toggle/Roles/Branch-Staff-Assign/Temp-Staff-Edit): Icon-only row-action Buttons (View, Edit/Update, Delete, Branch-Staff-Assign, Temp-Staff-Edit, DataTableViewOption) render DynamicIcon with aria-hidden="true" and rely solely on a Radix Tooltip for a visible label — no aria-label is ever s…</t>
        </is>
      </c>
      <c r="F107" t="inlineStr">
        <is>
          <t xml:space="preserve">Fix – UI/UX</t>
        </is>
      </c>
      <c r="G107" t="inlineStr">
        <is>
          <t xml:space="preserve">Critical</t>
        </is>
      </c>
      <c r="H107" t="inlineStr">
        <is>
          <t xml:space="preserve">Built – audit finding</t>
        </is>
      </c>
      <c r="I107">
        <v>2.5</v>
      </c>
      <c r="J107">
        <v>1.25</v>
      </c>
      <c r="K107">
        <v>3.75</v>
      </c>
      <c r="L107" t="inlineStr">
        <is>
          <t xml:space="preserve">Backlog ref #81 · verdict ADJUSTED</t>
        </is>
      </c>
    </row>
    <row r="108">
      <c r="A108">
        <v>97</v>
      </c>
      <c r="B108" t="inlineStr">
        <is>
          <t xml:space="preserve">Code Audit</t>
        </is>
      </c>
      <c r="C108" t="inlineStr">
        <is>
          <t xml:space="preserve">UI/UX &amp; Design-System Compliance</t>
        </is>
      </c>
      <c r="D108" t="inlineStr">
        <is>
          <t xml:space="preserve">Entire application (every form, every button)</t>
        </is>
      </c>
      <c r="E108" t="inlineStr">
        <is>
          <t xml:space="preserve">Shared Button atom — keyboard focus indicator: buttonVariants base class includes focus-visible:outline-none focus-visible:ring-0 with no alternative focus indicator (no ring, no outline, no box-shadow substitute) applied anywhere in the file.</t>
        </is>
      </c>
      <c r="F108" t="inlineStr">
        <is>
          <t xml:space="preserve">Fix – UI/UX</t>
        </is>
      </c>
      <c r="G108" t="inlineStr">
        <is>
          <t xml:space="preserve">Critical</t>
        </is>
      </c>
      <c r="H108" t="inlineStr">
        <is>
          <t xml:space="preserve">Built – audit finding</t>
        </is>
      </c>
      <c r="I108">
        <v>2.5</v>
      </c>
      <c r="J108">
        <v>1.25</v>
      </c>
      <c r="K108">
        <v>3.75</v>
      </c>
      <c r="L108" t="inlineStr">
        <is>
          <t xml:space="preserve">Backlog ref #82 · verdict CONFIRMED</t>
        </is>
      </c>
    </row>
    <row r="109">
      <c r="A109">
        <v>98</v>
      </c>
      <c r="B109" t="inlineStr">
        <is>
          <t xml:space="preserve">Code Audit</t>
        </is>
      </c>
      <c r="C109" t="inlineStr">
        <is>
          <t xml:space="preserve">UI/UX &amp; Design-System Compliance</t>
        </is>
      </c>
      <c r="D109" t="inlineStr">
        <is>
          <t xml:space="preserve">User Management (accesscontrol/usersroles/user/index-page.tsx) and at least 13…</t>
        </is>
      </c>
      <c r="E109" t="inlineStr">
        <is>
          <t xml:space="preserve">Grid data-fetch error handling: UserGridInner calls useInitializeDataTableColumns()/useInitializeDataTableDatas() and discards both return values entirely; DataTableContainer independently calls useInitializeDataTableDatas() a second time and only destructures { refetch…</t>
        </is>
      </c>
      <c r="F109" t="inlineStr">
        <is>
          <t xml:space="preserve">Fix</t>
        </is>
      </c>
      <c r="G109" t="inlineStr">
        <is>
          <t xml:space="preserve">Critical</t>
        </is>
      </c>
      <c r="H109" t="inlineStr">
        <is>
          <t xml:space="preserve">Built – audit finding</t>
        </is>
      </c>
      <c r="I109">
        <v>3.0</v>
      </c>
      <c r="J109">
        <v>1.5</v>
      </c>
      <c r="K109">
        <v>4.5</v>
      </c>
      <c r="L109" t="inlineStr">
        <is>
          <t xml:space="preserve">Backlog ref #83 · verdict CONFIRMED</t>
        </is>
      </c>
    </row>
    <row r="110">
      <c r="A110">
        <v>99</v>
      </c>
      <c r="B110" t="inlineStr">
        <is>
          <t xml:space="preserve">Code Audit</t>
        </is>
      </c>
      <c r="C110" t="inlineStr">
        <is>
          <t xml:space="preserve">Volunteer &amp; Membership</t>
        </is>
      </c>
      <c r="D110" t="inlineStr">
        <is>
          <t xml:space="preserve">Hour Tracking (Volunteer Hour Log — Approve/Reject/Bulk Approve/Bulk Reject/Det…</t>
        </is>
      </c>
      <c r="E110" t="inlineStr">
        <is>
          <t xml:space="preserve">Hour-tracking approval workflow: Confirmed exactly as reported — every ID-based single/bulk mutation and the GetById query for VolunteerHourLog omit the CompanyId predicate, and no other layer (authorization pipeline, EF global filters) compensates.</t>
        </is>
      </c>
      <c r="F110" t="inlineStr">
        <is>
          <t xml:space="preserve">Fix</t>
        </is>
      </c>
      <c r="G110" t="inlineStr">
        <is>
          <t xml:space="preserve">Critical</t>
        </is>
      </c>
      <c r="H110" t="inlineStr">
        <is>
          <t xml:space="preserve">Built – audit finding</t>
        </is>
      </c>
      <c r="I110">
        <v>3.0</v>
      </c>
      <c r="J110">
        <v>1.5</v>
      </c>
      <c r="K110">
        <v>4.5</v>
      </c>
      <c r="L110" t="inlineStr">
        <is>
          <t xml:space="preserve">Backlog ref #84 · verdict CONFIRMED</t>
        </is>
      </c>
    </row>
    <row r="111">
      <c r="A111">
        <v>100</v>
      </c>
      <c r="B111" t="inlineStr">
        <is>
          <t xml:space="preserve">Code Audit</t>
        </is>
      </c>
      <c r="C111" t="inlineStr">
        <is>
          <t xml:space="preserve">Volunteer &amp; Membership</t>
        </is>
      </c>
      <c r="D111" t="inlineStr">
        <is>
          <t xml:space="preserve">Member Enrollment (Create / Update)</t>
        </is>
      </c>
      <c r="E111" t="inlineStr">
        <is>
          <t xml:space="preserve">Staff-approval workflow bypass via IsSystemApproval flag: Confirmed and slightly worse than originally stated: Create not only bypasses the ApproveMemberEnrollment gate, it does so with no org-level MEM_APPROVAL_MODE check at all (that setting is only consulted in the dedicated Approve command) —…</t>
        </is>
      </c>
      <c r="F111" t="inlineStr">
        <is>
          <t xml:space="preserve">Fix – Security</t>
        </is>
      </c>
      <c r="G111" t="inlineStr">
        <is>
          <t xml:space="preserve">Critical</t>
        </is>
      </c>
      <c r="H111" t="inlineStr">
        <is>
          <t xml:space="preserve">Built – audit finding</t>
        </is>
      </c>
      <c r="I111">
        <v>4.0</v>
      </c>
      <c r="J111">
        <v>2.0</v>
      </c>
      <c r="K111">
        <v>6.0</v>
      </c>
      <c r="L111" t="inlineStr">
        <is>
          <t xml:space="preserve">Backlog ref #85 · verdict CONFIRMED</t>
        </is>
      </c>
    </row>
    <row r="112">
      <c r="A112">
        <v>101</v>
      </c>
      <c r="B112" t="inlineStr">
        <is>
          <t xml:space="preserve">Code Audit</t>
        </is>
      </c>
      <c r="C112" t="inlineStr">
        <is>
          <t xml:space="preserve">Volunteer &amp; Membership</t>
        </is>
      </c>
      <c r="D112" t="inlineStr">
        <is>
          <t xml:space="preserve">Member Portal (Login / Auth Gate)</t>
        </is>
      </c>
      <c r="E112" t="inlineStr">
        <is>
          <t xml:space="preserve">Member self-service portal authentication: Confirmed exactly as reported — there is no real authentication in the Member Portal login path; the guard only checks for the client's own localStorage write.</t>
        </is>
      </c>
      <c r="F112" t="inlineStr">
        <is>
          <t xml:space="preserve">Fix – Security</t>
        </is>
      </c>
      <c r="G112" t="inlineStr">
        <is>
          <t xml:space="preserve">Critical</t>
        </is>
      </c>
      <c r="H112" t="inlineStr">
        <is>
          <t xml:space="preserve">Built – audit finding</t>
        </is>
      </c>
      <c r="I112">
        <v>4.0</v>
      </c>
      <c r="J112">
        <v>2.0</v>
      </c>
      <c r="K112">
        <v>6.0</v>
      </c>
      <c r="L112" t="inlineStr">
        <is>
          <t xml:space="preserve">Backlog ref #86 · verdict CONFIRMED</t>
        </is>
      </c>
    </row>
    <row r="113">
      <c r="A113">
        <v>102</v>
      </c>
      <c r="B113" t="inlineStr">
        <is>
          <t xml:space="preserve">Code Audit</t>
        </is>
      </c>
      <c r="C113" t="inlineStr">
        <is>
          <t xml:space="preserve">Volunteer &amp; Membership</t>
        </is>
      </c>
      <c r="D113" t="inlineStr">
        <is>
          <t xml:space="preserve">Volunteer (Approve) / Member Enrollment (Approve)</t>
        </is>
      </c>
      <c r="E113" t="inlineStr">
        <is>
          <t xml:space="preserve">Volunteer and Member enrollment approval: Confirmed — same cross-tenant IDOR pattern recurs on Volunteer and MemberEnrollment approve handlers.</t>
        </is>
      </c>
      <c r="F113" t="inlineStr">
        <is>
          <t xml:space="preserve">Fix</t>
        </is>
      </c>
      <c r="G113" t="inlineStr">
        <is>
          <t xml:space="preserve">Critical</t>
        </is>
      </c>
      <c r="H113" t="inlineStr">
        <is>
          <t xml:space="preserve">Built – audit finding</t>
        </is>
      </c>
      <c r="I113">
        <v>3.0</v>
      </c>
      <c r="J113">
        <v>1.5</v>
      </c>
      <c r="K113">
        <v>4.5</v>
      </c>
      <c r="L113" t="inlineStr">
        <is>
          <t xml:space="preserve">Backlog ref #87 · verdict CONFIRMED</t>
        </is>
      </c>
    </row>
    <row r="114">
      <c r="A114">
        <v>103</v>
      </c>
      <c r="B114" t="inlineStr">
        <is>
          <t xml:space="preserve">Code Audit</t>
        </is>
      </c>
      <c r="C114" t="inlineStr">
        <is>
          <t xml:space="preserve">Administration / System Configuration</t>
        </is>
      </c>
      <c r="D114" t="inlineStr">
        <is>
          <t xml:space="preserve">Administration &gt; Menu Management</t>
        </is>
      </c>
      <c r="E114" t="inlineStr">
        <is>
          <t xml:space="preserve">Menu Row Protection for System-Critical MenuCodes: Confirmed exactly as claimed: nothing stops an admin with Menu:Modify/Menu:Delete from renaming or deleting the Menu row whose MenuCode matches a DecoratorAuthModules constant (e.g. "ROLECAPABILITY", "USERROLE"), which would break HasAcces…</t>
        </is>
      </c>
      <c r="F114" t="inlineStr">
        <is>
          <t xml:space="preserve">Fix – Security</t>
        </is>
      </c>
      <c r="G114" t="inlineStr">
        <is>
          <t xml:space="preserve">High</t>
        </is>
      </c>
      <c r="H114" t="inlineStr">
        <is>
          <t xml:space="preserve">Built – audit finding</t>
        </is>
      </c>
      <c r="I114">
        <v>3.0</v>
      </c>
      <c r="J114">
        <v>1.5</v>
      </c>
      <c r="K114">
        <v>4.5</v>
      </c>
      <c r="L114" t="inlineStr">
        <is>
          <t xml:space="preserve">Backlog ref #88 · verdict CONFIRMED</t>
        </is>
      </c>
    </row>
    <row r="115">
      <c r="A115">
        <v>104</v>
      </c>
      <c r="B115" t="inlineStr">
        <is>
          <t xml:space="preserve">Code Audit</t>
        </is>
      </c>
      <c r="C115" t="inlineStr">
        <is>
          <t xml:space="preserve">Administration / System Configuration</t>
        </is>
      </c>
      <c r="D115" t="inlineStr">
        <is>
          <t xml:space="preserve">Administration &gt; Role Management (Tab 3 matrix) / Menu Management / Capability…</t>
        </is>
      </c>
      <c r="E115" t="inlineStr">
        <is>
          <t xml:space="preserve">RoleCapability IsActive Toggle Enforcement: Confirmed precisely as claimed: toggling IsActive on a RoleCapability (or, by the same pattern, a Menu/Capability) has zero effect on server-side authorization decisions since HasAccessAsync never inspects that field. Also confirmed no FE…</t>
        </is>
      </c>
      <c r="F115" t="inlineStr">
        <is>
          <t xml:space="preserve">Fix – Security</t>
        </is>
      </c>
      <c r="G115" t="inlineStr">
        <is>
          <t xml:space="preserve">High</t>
        </is>
      </c>
      <c r="H115" t="inlineStr">
        <is>
          <t xml:space="preserve">Built – audit finding</t>
        </is>
      </c>
      <c r="I115">
        <v>3.0</v>
      </c>
      <c r="J115">
        <v>1.5</v>
      </c>
      <c r="K115">
        <v>4.5</v>
      </c>
      <c r="L115" t="inlineStr">
        <is>
          <t xml:space="preserve">Backlog ref #89 · verdict CONFIRMED</t>
        </is>
      </c>
    </row>
    <row r="116">
      <c r="A116">
        <v>105</v>
      </c>
      <c r="B116" t="inlineStr">
        <is>
          <t xml:space="preserve">Code Audit</t>
        </is>
      </c>
      <c r="C116" t="inlineStr">
        <is>
          <t xml:space="preserve">Administration / System Configuration</t>
        </is>
      </c>
      <c r="D116" t="inlineStr">
        <is>
          <t xml:space="preserve">Login / Authentication</t>
        </is>
      </c>
      <c r="E116" t="inlineStr">
        <is>
          <t xml:space="preserve">JWT Expiry vs Reported Session Length: The signed JWT `exp` claim is set to UtcNow+1 day, but the ExpiresIn value returned to the client is a hardcoded ~900 seconds (15 minutes), and neither reads the SESSION_TIMEOUT company setting.</t>
        </is>
      </c>
      <c r="F116" t="inlineStr">
        <is>
          <t xml:space="preserve">Fix – Security</t>
        </is>
      </c>
      <c r="G116" t="inlineStr">
        <is>
          <t xml:space="preserve">High</t>
        </is>
      </c>
      <c r="H116" t="inlineStr">
        <is>
          <t xml:space="preserve">Built – audit finding</t>
        </is>
      </c>
      <c r="I116">
        <v>3.0</v>
      </c>
      <c r="J116">
        <v>1.5</v>
      </c>
      <c r="K116">
        <v>4.5</v>
      </c>
      <c r="L116" t="inlineStr">
        <is>
          <t xml:space="preserve">Backlog ref #90 · verdict CONFIRMED</t>
        </is>
      </c>
    </row>
    <row r="117">
      <c r="A117">
        <v>106</v>
      </c>
      <c r="B117" t="inlineStr">
        <is>
          <t xml:space="preserve">Code Audit</t>
        </is>
      </c>
      <c r="C117" t="inlineStr">
        <is>
          <t xml:space="preserve">Administration / System Configuration</t>
        </is>
      </c>
      <c r="D117" t="inlineStr">
        <is>
          <t xml:space="preserve">User Management — Create/Update/Reset Password</t>
        </is>
      </c>
      <c r="E117" t="inlineStr">
        <is>
          <t xml:space="preserve">Password Strength &amp; History Validation: No length/character-class/history validation on any password-setting path; UpdateUser.cs accepts any non-null password string, hashes it, and saves.</t>
        </is>
      </c>
      <c r="F117" t="inlineStr">
        <is>
          <t xml:space="preserve">Fix – Security</t>
        </is>
      </c>
      <c r="G117" t="inlineStr">
        <is>
          <t xml:space="preserve">High</t>
        </is>
      </c>
      <c r="H117" t="inlineStr">
        <is>
          <t xml:space="preserve">Built – audit finding</t>
        </is>
      </c>
      <c r="I117">
        <v>3.0</v>
      </c>
      <c r="J117">
        <v>1.5</v>
      </c>
      <c r="K117">
        <v>4.5</v>
      </c>
      <c r="L117" t="inlineStr">
        <is>
          <t xml:space="preserve">Backlog ref #91 · verdict CONFIRMED</t>
        </is>
      </c>
    </row>
    <row r="118">
      <c r="A118">
        <v>107</v>
      </c>
      <c r="B118" t="inlineStr">
        <is>
          <t xml:space="preserve">Code Audit</t>
        </is>
      </c>
      <c r="C118" t="inlineStr">
        <is>
          <t xml:space="preserve">Administration / System Configuration</t>
        </is>
      </c>
      <c r="D118" t="inlineStr">
        <is>
          <t xml:space="preserve">User Management — Reset Password / Bulk Reset Password / Send Invite</t>
        </is>
      </c>
      <c r="E118" t="inlineStr">
        <is>
          <t xml:space="preserve">Cryptographically Weak Temp Password Generation: GenerateTempPasswordHelper.Generate() uses `new Random()` (non-cryptographic PRNG) to pick each character of the temp password, shared by 3 commands.</t>
        </is>
      </c>
      <c r="F118" t="inlineStr">
        <is>
          <t xml:space="preserve">Fix – Security</t>
        </is>
      </c>
      <c r="G118" t="inlineStr">
        <is>
          <t xml:space="preserve">High</t>
        </is>
      </c>
      <c r="H118" t="inlineStr">
        <is>
          <t xml:space="preserve">Built – audit finding</t>
        </is>
      </c>
      <c r="I118">
        <v>3.0</v>
      </c>
      <c r="J118">
        <v>1.5</v>
      </c>
      <c r="K118">
        <v>4.5</v>
      </c>
      <c r="L118" t="inlineStr">
        <is>
          <t xml:space="preserve">Backlog ref #92 · verdict CONFIRMED</t>
        </is>
      </c>
    </row>
    <row r="119">
      <c r="A119">
        <v>108</v>
      </c>
      <c r="B119" t="inlineStr">
        <is>
          <t xml:space="preserve">Code Audit</t>
        </is>
      </c>
      <c r="C119" t="inlineStr">
        <is>
          <t xml:space="preserve">API / GraphQL Contract</t>
        </is>
      </c>
      <c r="D119" t="inlineStr">
        <is>
          <t xml:space="preserve">All index/grid pages using useInitializeDataTableDatas (global)</t>
        </is>
      </c>
      <c r="E119" t="inlineStr">
        <is>
          <t xml:space="preserve">Client-side handling of the API error envelope: The shared FE hook processes results via `setData(data?.result?.data ?? [])` etc. and never inspects `data.result.success`/`errorCode`/`message`; the `error` state is populated only by genuine Apollo/network-transport failures, which are r…</t>
        </is>
      </c>
      <c r="F119" t="inlineStr">
        <is>
          <t xml:space="preserve">Testing</t>
        </is>
      </c>
      <c r="G119" t="inlineStr">
        <is>
          <t xml:space="preserve">High</t>
        </is>
      </c>
      <c r="H119" t="inlineStr">
        <is>
          <t xml:space="preserve">Built – audit finding</t>
        </is>
      </c>
      <c r="I119">
        <v>4.5</v>
      </c>
      <c r="J119">
        <v>2.25</v>
      </c>
      <c r="K119">
        <v>6.75</v>
      </c>
      <c r="L119" t="inlineStr">
        <is>
          <t xml:space="preserve">Backlog ref #93 · verdict CONFIRMED</t>
        </is>
      </c>
    </row>
    <row r="120">
      <c r="A120">
        <v>109</v>
      </c>
      <c r="B120" t="inlineStr">
        <is>
          <t xml:space="preserve">Code Audit</t>
        </is>
      </c>
      <c r="C120" t="inlineStr">
        <is>
          <t xml:space="preserve">API / GraphQL Contract</t>
        </is>
      </c>
      <c r="D120" t="inlineStr">
        <is>
          <t xml:space="preserve">All list/grid queries returning PaginatedApiResponse (global)</t>
        </is>
      </c>
      <c r="E120" t="inlineStr">
        <is>
          <t xml:space="preserve">Empty-result vs. error semantics: A legitimately empty filtered/paginated result set is returned through the exact same error path (ExceptionCode.BadRequest, 'Failed to retrieve the records') as an actual server failure.</t>
        </is>
      </c>
      <c r="F120" t="inlineStr">
        <is>
          <t xml:space="preserve">Fix</t>
        </is>
      </c>
      <c r="G120" t="inlineStr">
        <is>
          <t xml:space="preserve">High</t>
        </is>
      </c>
      <c r="H120" t="inlineStr">
        <is>
          <t xml:space="preserve">Built – audit finding</t>
        </is>
      </c>
      <c r="I120">
        <v>2.5</v>
      </c>
      <c r="J120">
        <v>1.25</v>
      </c>
      <c r="K120">
        <v>3.75</v>
      </c>
      <c r="L120" t="inlineStr">
        <is>
          <t xml:space="preserve">Backlog ref #94 · verdict CONFIRMED</t>
        </is>
      </c>
    </row>
    <row r="121">
      <c r="A121">
        <v>110</v>
      </c>
      <c r="B121" t="inlineStr">
        <is>
          <t xml:space="preserve">Code Audit</t>
        </is>
      </c>
      <c r="C121" t="inlineStr">
        <is>
          <t xml:space="preserve">API / GraphQL Contract</t>
        </is>
      </c>
      <c r="D121" t="inlineStr">
        <is>
          <t xml:space="preserve">GraphQL endpoint configuration (global — Base.API/Extensions/GraphQLRegistratio…</t>
        </is>
      </c>
      <c r="E121" t="inlineStr">
        <is>
          <t xml:space="preserve">Query cost/depth limiting, introspection lock-down, and CORS policy: No query cost/depth limiting configured anywhere; introspection never disabled; `StrictValidation = false` explicitly set; CORS configured with `SetIsOriginAllowed(_ =&gt; true).AllowCredentials()` (wildcard origin + credentials), applied unc…</t>
        </is>
      </c>
      <c r="F121" t="inlineStr">
        <is>
          <t xml:space="preserve">Fix – Security</t>
        </is>
      </c>
      <c r="G121" t="inlineStr">
        <is>
          <t xml:space="preserve">High</t>
        </is>
      </c>
      <c r="H121" t="inlineStr">
        <is>
          <t xml:space="preserve">Built – audit finding</t>
        </is>
      </c>
      <c r="I121">
        <v>3.0</v>
      </c>
      <c r="J121">
        <v>1.5</v>
      </c>
      <c r="K121">
        <v>4.5</v>
      </c>
      <c r="L121" t="inlineStr">
        <is>
          <t xml:space="preserve">Backlog ref #95 · verdict CONFIRMED</t>
        </is>
      </c>
    </row>
    <row r="122">
      <c r="A122">
        <v>111</v>
      </c>
      <c r="B122" t="inlineStr">
        <is>
          <t xml:space="preserve">Code Audit</t>
        </is>
      </c>
      <c r="C122" t="inlineStr">
        <is>
          <t xml:space="preserve">Background Services &amp; Scheduled Jobs</t>
        </is>
      </c>
      <c r="D122" t="inlineStr">
        <is>
          <t xml:space="preserve">Cross-cutting — all Hangfire recurring jobs</t>
        </is>
      </c>
      <c r="E122" t="inlineStr">
        <is>
          <t xml:space="preserve">Production job observability &amp; alerting: Confirmed: Base.API/Program.cs:56-60 wraps BOTH `await app.InitialiseDatabaseAsync()` and `app.UseHangfireDashboard("/hangfire")` inside `if (app.Environment.IsDevelopment())` — in Production there is no dashboard route registered at all (…</t>
        </is>
      </c>
      <c r="F122" t="inlineStr">
        <is>
          <t xml:space="preserve">Ops/Config</t>
        </is>
      </c>
      <c r="G122" t="inlineStr">
        <is>
          <t xml:space="preserve">High</t>
        </is>
      </c>
      <c r="H122" t="inlineStr">
        <is>
          <t xml:space="preserve">Built – audit finding</t>
        </is>
      </c>
      <c r="I122">
        <v>3.0</v>
      </c>
      <c r="J122">
        <v>1.5</v>
      </c>
      <c r="K122">
        <v>4.5</v>
      </c>
      <c r="L122" t="inlineStr">
        <is>
          <t xml:space="preserve">Backlog ref #96 · verdict CONFIRMED</t>
        </is>
      </c>
    </row>
    <row r="123">
      <c r="A123">
        <v>112</v>
      </c>
      <c r="B123" t="inlineStr">
        <is>
          <t xml:space="preserve">Code Audit</t>
        </is>
      </c>
      <c r="C123" t="inlineStr">
        <is>
          <t xml:space="preserve">Background Services &amp; Scheduled Jobs</t>
        </is>
      </c>
      <c r="D123" t="inlineStr">
        <is>
          <t xml:space="preserve">Membership &gt; Renewals</t>
        </is>
      </c>
      <c r="E123" t="inlineStr">
        <is>
          <t xml:space="preserve">Automated renewal reminder dispatch: Verified: SendBulkRenewalRemindersCommand (Base.Application/Business/MemBusiness/MembershipRenewals/Commands/SendBulkRenewalReminders.cs:12,29-33) is decorated [CustomAuthorize(DecoratorMemModules.MembershipRenewal, Permissions.Modify)] an…</t>
        </is>
      </c>
      <c r="F123" t="inlineStr">
        <is>
          <t xml:space="preserve">Fix</t>
        </is>
      </c>
      <c r="G123" t="inlineStr">
        <is>
          <t xml:space="preserve">High</t>
        </is>
      </c>
      <c r="H123" t="inlineStr">
        <is>
          <t xml:space="preserve">Built – audit finding</t>
        </is>
      </c>
      <c r="I123">
        <v>2.5</v>
      </c>
      <c r="J123">
        <v>1.25</v>
      </c>
      <c r="K123">
        <v>3.75</v>
      </c>
      <c r="L123" t="inlineStr">
        <is>
          <t xml:space="preserve">Backlog ref #97 · verdict CONFIRMED</t>
        </is>
      </c>
    </row>
    <row r="124">
      <c r="A124">
        <v>113</v>
      </c>
      <c r="B124" t="inlineStr">
        <is>
          <t xml:space="preserve">Code Audit</t>
        </is>
      </c>
      <c r="C124" t="inlineStr">
        <is>
          <t xml:space="preserve">Case Management</t>
        </is>
      </c>
      <c r="D124" t="inlineStr">
        <is>
          <t xml:space="preserve">Case / Beneficiary / Case Service Log (disbursements)</t>
        </is>
      </c>
      <c r="E124" t="inlineStr">
        <is>
          <t xml:space="preserve">Branch-scoped spend enforcement: Read CreateBeneficiaryServiceLog.cs (full validator + handler) and ServiceLogFundingGuard.cs (full file): neither references BranchId anywhere. The write path validates funding-source ownership/status and enforces the pool ceiling via a Po…</t>
        </is>
      </c>
      <c r="F124" t="inlineStr">
        <is>
          <t xml:space="preserve">Fix – Security</t>
        </is>
      </c>
      <c r="G124" t="inlineStr">
        <is>
          <t xml:space="preserve">High</t>
        </is>
      </c>
      <c r="H124" t="inlineStr">
        <is>
          <t xml:space="preserve">Built – audit finding</t>
        </is>
      </c>
      <c r="I124">
        <v>3.0</v>
      </c>
      <c r="J124">
        <v>1.5</v>
      </c>
      <c r="K124">
        <v>4.5</v>
      </c>
      <c r="L124" t="inlineStr">
        <is>
          <t xml:space="preserve">Backlog ref #98 · verdict CONFIRMED</t>
        </is>
      </c>
    </row>
    <row r="125">
      <c r="A125">
        <v>114</v>
      </c>
      <c r="B125" t="inlineStr">
        <is>
          <t xml:space="preserve">Code Audit</t>
        </is>
      </c>
      <c r="C125" t="inlineStr">
        <is>
          <t xml:space="preserve">Case Management</t>
        </is>
      </c>
      <c r="D125" t="inlineStr">
        <is>
          <t xml:space="preserve">Program Management / Beneficiary enrollment</t>
        </is>
      </c>
      <c r="E125" t="inlineStr">
        <is>
          <t xml:space="preserve">Program.MaximumCapacity enforcement: Read EnrollBeneficiaryInProgram.cs in full: the validator checks only required fields, FK validity (Beneficiary/Program/Staff), and a MustAsync duplicate-active-enrollment guard (lines 30-38). The handler (lines 46-87) inserts a new Benefi…</t>
        </is>
      </c>
      <c r="F125" t="inlineStr">
        <is>
          <t xml:space="preserve">Fix – Business Logic</t>
        </is>
      </c>
      <c r="G125" t="inlineStr">
        <is>
          <t xml:space="preserve">High</t>
        </is>
      </c>
      <c r="H125" t="inlineStr">
        <is>
          <t xml:space="preserve">Built – audit finding</t>
        </is>
      </c>
      <c r="I125">
        <v>3.0</v>
      </c>
      <c r="J125">
        <v>1.5</v>
      </c>
      <c r="K125">
        <v>4.5</v>
      </c>
      <c r="L125" t="inlineStr">
        <is>
          <t xml:space="preserve">Backlog ref #99 · verdict CONFIRMED</t>
        </is>
      </c>
    </row>
    <row r="126">
      <c r="A126">
        <v>115</v>
      </c>
      <c r="B126" t="inlineStr">
        <is>
          <t xml:space="preserve">Code Audit</t>
        </is>
      </c>
      <c r="C126" t="inlineStr">
        <is>
          <t xml:space="preserve">Communication</t>
        </is>
      </c>
      <c r="D126" t="inlineStr">
        <is>
          <t xml:space="preserve">Company Email Provider / Email SendJob reliability</t>
        </is>
      </c>
      <c r="E126" t="inlineStr">
        <is>
          <t xml:space="preserve">Provider failover (Primary → Fallback): All three layers confirmed broken/absent exactly as claimed: (1) EmailExecutorService's fallback check tests the wrong variable so it always throws instead of using the fetched fallback, (2) EmailSenderService never attempts a fallback at…</t>
        </is>
      </c>
      <c r="F126" t="inlineStr">
        <is>
          <t xml:space="preserve">Fix</t>
        </is>
      </c>
      <c r="G126" t="inlineStr">
        <is>
          <t xml:space="preserve">High</t>
        </is>
      </c>
      <c r="H126" t="inlineStr">
        <is>
          <t xml:space="preserve">Built – audit finding</t>
        </is>
      </c>
      <c r="I126">
        <v>2.5</v>
      </c>
      <c r="J126">
        <v>1.25</v>
      </c>
      <c r="K126">
        <v>3.75</v>
      </c>
      <c r="L126" t="inlineStr">
        <is>
          <t xml:space="preserve">Backlog ref #100 · verdict CONFIRMED</t>
        </is>
      </c>
    </row>
    <row r="127">
      <c r="A127">
        <v>116</v>
      </c>
      <c r="B127" t="inlineStr">
        <is>
          <t xml:space="preserve">Code Audit</t>
        </is>
      </c>
      <c r="C127" t="inlineStr">
        <is>
          <t xml:space="preserve">Communication</t>
        </is>
      </c>
      <c r="D127" t="inlineStr">
        <is>
          <t xml:space="preserve">Email SendJob / all campaign email</t>
        </is>
      </c>
      <c r="E127" t="inlineStr">
        <is>
          <t xml:space="preserve">Retry logic for failed sends: Confirmed: grep across the codebase (excluding Membership/Import modules and migrations) shows RetryCount/MaxRetryAttempts for Email are only ever written (initialized to 0/3, then incremented to 1 on failure) and never read back by any sc…</t>
        </is>
      </c>
      <c r="F127" t="inlineStr">
        <is>
          <t xml:space="preserve">Fix</t>
        </is>
      </c>
      <c r="G127" t="inlineStr">
        <is>
          <t xml:space="preserve">High</t>
        </is>
      </c>
      <c r="H127" t="inlineStr">
        <is>
          <t xml:space="preserve">Built – audit finding</t>
        </is>
      </c>
      <c r="I127">
        <v>2.5</v>
      </c>
      <c r="J127">
        <v>1.25</v>
      </c>
      <c r="K127">
        <v>3.75</v>
      </c>
      <c r="L127" t="inlineStr">
        <is>
          <t xml:space="preserve">Backlog ref #101 · verdict CONFIRMED</t>
        </is>
      </c>
    </row>
    <row r="128">
      <c r="A128">
        <v>117</v>
      </c>
      <c r="B128" t="inlineStr">
        <is>
          <t xml:space="preserve">Code Audit</t>
        </is>
      </c>
      <c r="C128" t="inlineStr">
        <is>
          <t xml:space="preserve">Communication</t>
        </is>
      </c>
      <c r="D128" t="inlineStr">
        <is>
          <t xml:space="preserve">SMS Campaign (Send Now)</t>
        </is>
      </c>
      <c r="E128" t="inlineStr">
        <is>
          <t xml:space="preserve">Send reliability / crash consistency: Confirmed exactly: nothing is persisted to the database before the live provider send call at line 152. If the process crashes, times out, or the request is cancelled between line 153 and line 201, messages have already gone out through th…</t>
        </is>
      </c>
      <c r="F128" t="inlineStr">
        <is>
          <t xml:space="preserve">Fix – Data Integrity</t>
        </is>
      </c>
      <c r="G128" t="inlineStr">
        <is>
          <t xml:space="preserve">High</t>
        </is>
      </c>
      <c r="H128" t="inlineStr">
        <is>
          <t xml:space="preserve">Built – audit finding</t>
        </is>
      </c>
      <c r="I128">
        <v>3.0</v>
      </c>
      <c r="J128">
        <v>1.5</v>
      </c>
      <c r="K128">
        <v>4.5</v>
      </c>
      <c r="L128" t="inlineStr">
        <is>
          <t xml:space="preserve">Backlog ref #102 · verdict CONFIRMED</t>
        </is>
      </c>
    </row>
    <row r="129">
      <c r="A129">
        <v>118</v>
      </c>
      <c r="B129" t="inlineStr">
        <is>
          <t xml:space="preserve">Code Audit</t>
        </is>
      </c>
      <c r="C129" t="inlineStr">
        <is>
          <t xml:space="preserve">Communication</t>
        </is>
      </c>
      <c r="D129" t="inlineStr">
        <is>
          <t xml:space="preserve">SMS Campaign / WhatsApp Campaign (Send Now)</t>
        </is>
      </c>
      <c r="E129" t="inlineStr">
        <is>
          <t xml:space="preserve">Audience size cap: Confirmed verbatim: any campaign whose real audience (after all filters) exceeds 500 contacts is silently truncated to the first 500 rows the query returns; campaign.AudienceNetRecipientsCount is set from netContacts.Count (the capped list…</t>
        </is>
      </c>
      <c r="F129" t="inlineStr">
        <is>
          <t xml:space="preserve">Fix</t>
        </is>
      </c>
      <c r="G129" t="inlineStr">
        <is>
          <t xml:space="preserve">High</t>
        </is>
      </c>
      <c r="H129" t="inlineStr">
        <is>
          <t xml:space="preserve">Built – audit finding</t>
        </is>
      </c>
      <c r="I129">
        <v>2.5</v>
      </c>
      <c r="J129">
        <v>1.25</v>
      </c>
      <c r="K129">
        <v>3.75</v>
      </c>
      <c r="L129" t="inlineStr">
        <is>
          <t xml:space="preserve">Backlog ref #103 · verdict CONFIRMED</t>
        </is>
      </c>
    </row>
    <row r="130">
      <c r="A130">
        <v>119</v>
      </c>
      <c r="B130" t="inlineStr">
        <is>
          <t xml:space="preserve">Code Audit</t>
        </is>
      </c>
      <c r="C130" t="inlineStr">
        <is>
          <t xml:space="preserve">Communication</t>
        </is>
      </c>
      <c r="D130" t="inlineStr">
        <is>
          <t xml:space="preserve">SMS Setup / SMS Campaign</t>
        </is>
      </c>
      <c r="E130" t="inlineStr">
        <is>
          <t xml:space="preserve">SMS opt-out keyword (STOP/UNSUBSCRIBE) enforcement: Confirmed and even more precisely evidenced than originally stated: an inbound-SMS endpoint exists and does receive the reply body, but it is a dead-end stub — no keyword matching, no DoNotSMS write. Grep for 'DoNotSMS\s*=' across Base.App…</t>
        </is>
      </c>
      <c r="F130" t="inlineStr">
        <is>
          <t xml:space="preserve">Fix – Business Logic</t>
        </is>
      </c>
      <c r="G130" t="inlineStr">
        <is>
          <t xml:space="preserve">High</t>
        </is>
      </c>
      <c r="H130" t="inlineStr">
        <is>
          <t xml:space="preserve">Built – audit finding</t>
        </is>
      </c>
      <c r="I130">
        <v>3.0</v>
      </c>
      <c r="J130">
        <v>1.5</v>
      </c>
      <c r="K130">
        <v>4.5</v>
      </c>
      <c r="L130" t="inlineStr">
        <is>
          <t xml:space="preserve">Backlog ref #104 · verdict ADJUSTED</t>
        </is>
      </c>
    </row>
    <row r="131">
      <c r="A131">
        <v>120</v>
      </c>
      <c r="B131" t="inlineStr">
        <is>
          <t xml:space="preserve">Code Audit</t>
        </is>
      </c>
      <c r="C131" t="inlineStr">
        <is>
          <t xml:space="preserve">Contacts / CRM</t>
        </is>
      </c>
      <c r="D131" t="inlineStr">
        <is>
          <t xml:space="preserve">Contact Import</t>
        </is>
      </c>
      <c r="E131" t="inlineStr">
        <is>
          <t xml:space="preserve">Import execution — batch commit / rollback: No automated or manual rollback/undo command exists for a partially-completed import; only resume-from-offset.</t>
        </is>
      </c>
      <c r="F131" t="inlineStr">
        <is>
          <t xml:space="preserve">Ops/Config</t>
        </is>
      </c>
      <c r="G131" t="inlineStr">
        <is>
          <t xml:space="preserve">High</t>
        </is>
      </c>
      <c r="H131" t="inlineStr">
        <is>
          <t xml:space="preserve">Built – audit finding</t>
        </is>
      </c>
      <c r="I131">
        <v>3.0</v>
      </c>
      <c r="J131">
        <v>1.5</v>
      </c>
      <c r="K131">
        <v>4.5</v>
      </c>
      <c r="L131" t="inlineStr">
        <is>
          <t xml:space="preserve">Backlog ref #105 · verdict CONFIRMED</t>
        </is>
      </c>
    </row>
    <row r="132">
      <c r="A132">
        <v>121</v>
      </c>
      <c r="B132" t="inlineStr">
        <is>
          <t xml:space="preserve">Code Audit</t>
        </is>
      </c>
      <c r="C132" t="inlineStr">
        <is>
          <t xml:space="preserve">Contacts / CRM</t>
        </is>
      </c>
      <c r="D132" t="inlineStr">
        <is>
          <t xml:space="preserve">Duplicate Detection (queue/grid + actions)</t>
        </is>
      </c>
      <c r="E132" t="inlineStr">
        <is>
          <t xml:space="preserve">GetDuplicateContacts / IgnoreDuplicateContact / NotDuplicateContact: Sibling query GetDuplicateContactSummary.cs correctly applies `var companyId = httpContextAccessor.GetCurrentUserStaffCompanyId(); ... baseQuery.Where(d =&gt; d.CompanyId == companyId)` (confirmed via grep at lines 35,44) — proving the correc…</t>
        </is>
      </c>
      <c r="F132" t="inlineStr">
        <is>
          <t xml:space="preserve">Fix</t>
        </is>
      </c>
      <c r="G132" t="inlineStr">
        <is>
          <t xml:space="preserve">High</t>
        </is>
      </c>
      <c r="H132" t="inlineStr">
        <is>
          <t xml:space="preserve">Built – audit finding</t>
        </is>
      </c>
      <c r="I132">
        <v>2.5</v>
      </c>
      <c r="J132">
        <v>1.25</v>
      </c>
      <c r="K132">
        <v>3.75</v>
      </c>
      <c r="L132" t="inlineStr">
        <is>
          <t xml:space="preserve">Backlog ref #106 · verdict CONFIRMED</t>
        </is>
      </c>
    </row>
    <row r="133">
      <c r="A133">
        <v>122</v>
      </c>
      <c r="B133" t="inlineStr">
        <is>
          <t xml:space="preserve">Code Audit</t>
        </is>
      </c>
      <c r="C133" t="inlineStr">
        <is>
          <t xml:space="preserve">Contacts / CRM</t>
        </is>
      </c>
      <c r="D133" t="inlineStr">
        <is>
          <t xml:space="preserve">Duplicate Detection / Merge Contacts</t>
        </is>
      </c>
      <c r="E133" t="inlineStr">
        <is>
          <t xml:space="preserve">Merge data-transfer coverage: When the merged contact is deactivated (line 451-456), any Tags, UPI details, Prayer Requests, or GlobalDonations tied to it are never transferred — becoming orphaned once the merged contact is IsDeleted=true.</t>
        </is>
      </c>
      <c r="F133" t="inlineStr">
        <is>
          <t xml:space="preserve">Fix – Data Integrity</t>
        </is>
      </c>
      <c r="G133" t="inlineStr">
        <is>
          <t xml:space="preserve">High</t>
        </is>
      </c>
      <c r="H133" t="inlineStr">
        <is>
          <t xml:space="preserve">Built – audit finding</t>
        </is>
      </c>
      <c r="I133">
        <v>3.0</v>
      </c>
      <c r="J133">
        <v>1.5</v>
      </c>
      <c r="K133">
        <v>4.5</v>
      </c>
      <c r="L133" t="inlineStr">
        <is>
          <t xml:space="preserve">Backlog ref #107 · verdict CONFIRMED</t>
        </is>
      </c>
    </row>
    <row r="134">
      <c r="A134">
        <v>123</v>
      </c>
      <c r="B134" t="inlineStr">
        <is>
          <t xml:space="preserve">Code Audit</t>
        </is>
      </c>
      <c r="C134" t="inlineStr">
        <is>
          <t xml:space="preserve">Contacts / CRM</t>
        </is>
      </c>
      <c r="D134" t="inlineStr">
        <is>
          <t xml:space="preserve">Duplicate Detection / Merge Contacts</t>
        </is>
      </c>
      <c r="E134" t="inlineStr">
        <is>
          <t xml:space="preserve">MergeContacts validator — tenant ownership: Nothing in the merge path prevents submitting an arbitrary ContactId pair — including ones from a different company — directly to the MergeContacts mutation, compounding the missing tenant filter on GetDuplicateContacts.</t>
        </is>
      </c>
      <c r="F134" t="inlineStr">
        <is>
          <t xml:space="preserve">Fix</t>
        </is>
      </c>
      <c r="G134" t="inlineStr">
        <is>
          <t xml:space="preserve">High</t>
        </is>
      </c>
      <c r="H134" t="inlineStr">
        <is>
          <t xml:space="preserve">Built – audit finding</t>
        </is>
      </c>
      <c r="I134">
        <v>2.5</v>
      </c>
      <c r="J134">
        <v>1.25</v>
      </c>
      <c r="K134">
        <v>3.75</v>
      </c>
      <c r="L134" t="inlineStr">
        <is>
          <t xml:space="preserve">Backlog ref #108 · verdict CONFIRMED</t>
        </is>
      </c>
    </row>
    <row r="135">
      <c r="A135">
        <v>124</v>
      </c>
      <c r="B135" t="inlineStr">
        <is>
          <t xml:space="preserve">Code Audit</t>
        </is>
      </c>
      <c r="C135" t="inlineStr">
        <is>
          <t xml:space="preserve">Contacts / CRM</t>
        </is>
      </c>
      <c r="D135" t="inlineStr">
        <is>
          <t xml:space="preserve">Family</t>
        </is>
      </c>
      <c r="E135" t="inlineStr">
        <is>
          <t xml:space="preserve">Family membership reassignment (merge, bulk-set, relationship-linking): No path in the Family module checks whether the target contact already belongs to a different family before reassignment, and no orphaned-Family cleanup occurs.</t>
        </is>
      </c>
      <c r="F135" t="inlineStr">
        <is>
          <t xml:space="preserve">Fix – Business Logic</t>
        </is>
      </c>
      <c r="G135" t="inlineStr">
        <is>
          <t xml:space="preserve">High</t>
        </is>
      </c>
      <c r="H135" t="inlineStr">
        <is>
          <t xml:space="preserve">Built – audit finding</t>
        </is>
      </c>
      <c r="I135">
        <v>3.0</v>
      </c>
      <c r="J135">
        <v>1.5</v>
      </c>
      <c r="K135">
        <v>4.5</v>
      </c>
      <c r="L135" t="inlineStr">
        <is>
          <t xml:space="preserve">Backlog ref #109 · verdict CONFIRMED</t>
        </is>
      </c>
    </row>
    <row r="136">
      <c r="A136">
        <v>125</v>
      </c>
      <c r="B136" t="inlineStr">
        <is>
          <t xml:space="preserve">Code Audit</t>
        </is>
      </c>
      <c r="C136" t="inlineStr">
        <is>
          <t xml:space="preserve">Currency / FX / Decimal / Timezone</t>
        </is>
      </c>
      <c r="D136" t="inlineStr">
        <is>
          <t xml:space="preserve">Ambassador Collection — Create Collection form</t>
        </is>
      </c>
      <c r="E136" t="inlineStr">
        <is>
          <t xml:space="preserve">Back-dated / high-value auto-approval branching using server-local date: A business-critical auto-approval decision (auto-verify vs. hold for approval) is driven by the application server's local system time-zone date rather than UTC, in the same feature area where the sibling summary query was explicitly fixed…</t>
        </is>
      </c>
      <c r="F136" t="inlineStr">
        <is>
          <t xml:space="preserve">Fix</t>
        </is>
      </c>
      <c r="G136" t="inlineStr">
        <is>
          <t xml:space="preserve">High</t>
        </is>
      </c>
      <c r="H136" t="inlineStr">
        <is>
          <t xml:space="preserve">Built – audit finding</t>
        </is>
      </c>
      <c r="I136">
        <v>2.5</v>
      </c>
      <c r="J136">
        <v>1.25</v>
      </c>
      <c r="K136">
        <v>3.75</v>
      </c>
      <c r="L136" t="inlineStr">
        <is>
          <t xml:space="preserve">Backlog ref #110 · verdict CONFIRMED</t>
        </is>
      </c>
    </row>
    <row r="137">
      <c r="A137">
        <v>126</v>
      </c>
      <c r="B137" t="inlineStr">
        <is>
          <t xml:space="preserve">Code Audit</t>
        </is>
      </c>
      <c r="C137" t="inlineStr">
        <is>
          <t xml:space="preserve">Currency / FX / Decimal / Timezone</t>
        </is>
      </c>
      <c r="D137" t="inlineStr">
        <is>
          <t xml:space="preserve">Cross-cutting — all FX snapshot/rounding call sites (Grant, Refund, Donation, R…</t>
        </is>
      </c>
      <c r="E137" t="inlineStr">
        <is>
          <t xml:space="preserve">Decimal precision of converted/aggregated monetary amounts: Currency.DecimalPlaces is a modeled, ISO-4217-aware field that is never consulted anywhere the codebase rounds a converted or aggregated monetary amount — confirmed dead for computational purposes (only surfaces in schema/mapping code, nev…</t>
        </is>
      </c>
      <c r="F137" t="inlineStr">
        <is>
          <t xml:space="preserve">Fix – Currency</t>
        </is>
      </c>
      <c r="G137" t="inlineStr">
        <is>
          <t xml:space="preserve">High</t>
        </is>
      </c>
      <c r="H137" t="inlineStr">
        <is>
          <t xml:space="preserve">Built – audit finding</t>
        </is>
      </c>
      <c r="I137">
        <v>3.5</v>
      </c>
      <c r="J137">
        <v>1.75</v>
      </c>
      <c r="K137">
        <v>5.25</v>
      </c>
      <c r="L137" t="inlineStr">
        <is>
          <t xml:space="preserve">Backlog ref #111 · verdict CONFIRMED</t>
        </is>
      </c>
    </row>
    <row r="138">
      <c r="A138">
        <v>127</v>
      </c>
      <c r="B138" t="inlineStr">
        <is>
          <t xml:space="preserve">Code Audit</t>
        </is>
      </c>
      <c r="C138" t="inlineStr">
        <is>
          <t xml:space="preserve">Currency / FX / Decimal / Timezone</t>
        </is>
      </c>
      <c r="D138" t="inlineStr">
        <is>
          <t xml:space="preserve">Cross-cutting — canonical FE amount formatter (companySettingsFormatters.ts)</t>
        </is>
      </c>
      <c r="E138" t="inlineStr">
        <is>
          <t xml:space="preserve">Application-wide currency display precision: The one FE module purpose-built to be the single canonical, tenant-aware currency formatter still has no per-currency decimal-place awareness — every caller that doesn't explicitly override gets 2 decimals regardless of the amount's actual…</t>
        </is>
      </c>
      <c r="F138" t="inlineStr">
        <is>
          <t xml:space="preserve">Fix – Currency</t>
        </is>
      </c>
      <c r="G138" t="inlineStr">
        <is>
          <t xml:space="preserve">High</t>
        </is>
      </c>
      <c r="H138" t="inlineStr">
        <is>
          <t xml:space="preserve">Built – audit finding</t>
        </is>
      </c>
      <c r="I138">
        <v>3.5</v>
      </c>
      <c r="J138">
        <v>1.75</v>
      </c>
      <c r="K138">
        <v>5.25</v>
      </c>
      <c r="L138" t="inlineStr">
        <is>
          <t xml:space="preserve">Backlog ref #112 · verdict CONFIRMED</t>
        </is>
      </c>
    </row>
    <row r="139">
      <c r="A139">
        <v>128</v>
      </c>
      <c r="B139" t="inlineStr">
        <is>
          <t xml:space="preserve">Code Audit</t>
        </is>
      </c>
      <c r="C139" t="inlineStr">
        <is>
          <t xml:space="preserve">Currency / FX / Decimal / Timezone</t>
        </is>
      </c>
      <c r="D139" t="inlineStr">
        <is>
          <t xml:space="preserve">Currency Management (#79) — Update Rates modal</t>
        </is>
      </c>
      <c r="E139" t="inlineStr">
        <is>
          <t xml:space="preserve">Admin 'Batch Update Auto Rates' button: The 'Update Rates' action on the Currency Management screen (#79) is a dead stub that always fake-reports success while a second, correctly-wired 'Sync Now' action already exists and works on the sibling Currency Conversion screen — i.e. t…</t>
        </is>
      </c>
      <c r="F139" t="inlineStr">
        <is>
          <t xml:space="preserve">Fix – Currency</t>
        </is>
      </c>
      <c r="G139" t="inlineStr">
        <is>
          <t xml:space="preserve">High</t>
        </is>
      </c>
      <c r="H139" t="inlineStr">
        <is>
          <t xml:space="preserve">Built – audit finding</t>
        </is>
      </c>
      <c r="I139">
        <v>3.5</v>
      </c>
      <c r="J139">
        <v>1.75</v>
      </c>
      <c r="K139">
        <v>5.25</v>
      </c>
      <c r="L139" t="inlineStr">
        <is>
          <t xml:space="preserve">Backlog ref #113 · verdict ADJUSTED</t>
        </is>
      </c>
    </row>
    <row r="140">
      <c r="A140">
        <v>129</v>
      </c>
      <c r="B140" t="inlineStr">
        <is>
          <t xml:space="preserve">Code Audit</t>
        </is>
      </c>
      <c r="C140" t="inlineStr">
        <is>
          <t xml:space="preserve">Currency / FX / Decimal / Timezone</t>
        </is>
      </c>
      <c r="D140" t="inlineStr">
        <is>
          <t xml:space="preserve">Online Donation Inbox — Resolve/Promote staging record</t>
        </is>
      </c>
      <c r="E140" t="inlineStr">
        <is>
          <t xml:space="preserve">Cross-currency online donation FX resolution on promote: When no configured FX rate exists for a cross-currency online donation, the system silently records BaseCurrencyAmount at 1:1 parity rather than surfacing this as an exception requiring staff attention, and there is no persisted marker dis…</t>
        </is>
      </c>
      <c r="F140" t="inlineStr">
        <is>
          <t xml:space="preserve">Fix – Currency</t>
        </is>
      </c>
      <c r="G140" t="inlineStr">
        <is>
          <t xml:space="preserve">High</t>
        </is>
      </c>
      <c r="H140" t="inlineStr">
        <is>
          <t xml:space="preserve">Built – audit finding</t>
        </is>
      </c>
      <c r="I140">
        <v>3.5</v>
      </c>
      <c r="J140">
        <v>1.75</v>
      </c>
      <c r="K140">
        <v>5.25</v>
      </c>
      <c r="L140" t="inlineStr">
        <is>
          <t xml:space="preserve">Backlog ref #114 · verdict CONFIRMED</t>
        </is>
      </c>
    </row>
    <row r="141">
      <c r="A141">
        <v>130</v>
      </c>
      <c r="B141" t="inlineStr">
        <is>
          <t xml:space="preserve">Code Audit</t>
        </is>
      </c>
      <c r="C141" t="inlineStr">
        <is>
          <t xml:space="preserve">Data Consistency &amp; Concurrency</t>
        </is>
      </c>
      <c r="D141" t="inlineStr">
        <is>
          <t xml:space="preserve">Auction / Bidding</t>
        </is>
      </c>
      <c r="E141" t="inlineStr">
        <is>
          <t xml:space="preserve">Place Bid: There is a real TOCTOU window on the pre-transaction read/compare (no advisory lock, no FOR UPDATE, no re-validation of CurrentHighBid immediately before insert), so the original finding's structural complaint is accurate. But its claimed…</t>
        </is>
      </c>
      <c r="F141" t="inlineStr">
        <is>
          <t xml:space="preserve">Fix – Data Integrity</t>
        </is>
      </c>
      <c r="G141" t="inlineStr">
        <is>
          <t xml:space="preserve">High</t>
        </is>
      </c>
      <c r="H141" t="inlineStr">
        <is>
          <t xml:space="preserve">Built – audit finding</t>
        </is>
      </c>
      <c r="I141">
        <v>3.0</v>
      </c>
      <c r="J141">
        <v>1.5</v>
      </c>
      <c r="K141">
        <v>4.5</v>
      </c>
      <c r="L141" t="inlineStr">
        <is>
          <t xml:space="preserve">Backlog ref #115 · verdict ADJUSTED</t>
        </is>
      </c>
    </row>
    <row r="142">
      <c r="A142">
        <v>131</v>
      </c>
      <c r="B142" t="inlineStr">
        <is>
          <t xml:space="preserve">Code Audit</t>
        </is>
      </c>
      <c r="C142" t="inlineStr">
        <is>
          <t xml:space="preserve">Data Consistency &amp; Concurrency</t>
        </is>
      </c>
      <c r="D142" t="inlineStr">
        <is>
          <t xml:space="preserve">Event Registration — Payments</t>
        </is>
      </c>
      <c r="E142" t="inlineStr">
        <is>
          <t xml:space="preserve">EventRegistrationPayment Idempotency: The DB-level gap is real and confirmed as described. However, it is partially — not fully — mitigated in practice by the in-memory idempotency cache: a same-instance retry (typical browser double-click, single-instance dev/staging deploy)…</t>
        </is>
      </c>
      <c r="F142" t="inlineStr">
        <is>
          <t xml:space="preserve">Fix</t>
        </is>
      </c>
      <c r="G142" t="inlineStr">
        <is>
          <t xml:space="preserve">High</t>
        </is>
      </c>
      <c r="H142" t="inlineStr">
        <is>
          <t xml:space="preserve">Built – audit finding</t>
        </is>
      </c>
      <c r="I142">
        <v>2.5</v>
      </c>
      <c r="J142">
        <v>1.25</v>
      </c>
      <c r="K142">
        <v>3.75</v>
      </c>
      <c r="L142" t="inlineStr">
        <is>
          <t xml:space="preserve">Backlog ref #116 · verdict ADJUSTED</t>
        </is>
      </c>
    </row>
    <row r="143">
      <c r="A143">
        <v>132</v>
      </c>
      <c r="B143" t="inlineStr">
        <is>
          <t xml:space="preserve">Code Audit</t>
        </is>
      </c>
      <c r="C143" t="inlineStr">
        <is>
          <t xml:space="preserve">Data Consistency &amp; Concurrency</t>
        </is>
      </c>
      <c r="D143" t="inlineStr">
        <is>
          <t xml:space="preserve">Global / Cross-Cutting — Data Integrity</t>
        </is>
      </c>
      <c r="E143" t="inlineStr">
        <is>
          <t xml:space="preserve">Optimistic Concurrency Control: Confirmed: no entity anywhere in the schema carries a concurrency token. Two staff editing the same record's non-funding fields concurrently (e.g., two case workers both editing a Case's notes/description) will silently overwrite each othe…</t>
        </is>
      </c>
      <c r="F143" t="inlineStr">
        <is>
          <t xml:space="preserve">Fix – Data Integrity</t>
        </is>
      </c>
      <c r="G143" t="inlineStr">
        <is>
          <t xml:space="preserve">High</t>
        </is>
      </c>
      <c r="H143" t="inlineStr">
        <is>
          <t xml:space="preserve">Built – audit finding</t>
        </is>
      </c>
      <c r="I143">
        <v>3.0</v>
      </c>
      <c r="J143">
        <v>1.5</v>
      </c>
      <c r="K143">
        <v>4.5</v>
      </c>
      <c r="L143" t="inlineStr">
        <is>
          <t xml:space="preserve">Backlog ref #117 · verdict CONFIRMED</t>
        </is>
      </c>
    </row>
    <row r="144">
      <c r="A144">
        <v>133</v>
      </c>
      <c r="B144" t="inlineStr">
        <is>
          <t xml:space="preserve">Code Audit</t>
        </is>
      </c>
      <c r="C144" t="inlineStr">
        <is>
          <t xml:space="preserve">Data Consistency &amp; Concurrency</t>
        </is>
      </c>
      <c r="D144" t="inlineStr">
        <is>
          <t xml:space="preserve">Global / Cross-Cutting — Soft Delete</t>
        </is>
      </c>
      <c r="E144" t="inlineStr">
        <is>
          <t xml:space="preserve">Case Delete Cascade to Child Records: Confirmed: after a Case is soft-deleted, its CaseNotes (and, by the same reasoning, CaseDocuments/CaseActionItems/CaseReferrals) remain IsDeleted=false and are directly returned by the standard list query with no parent-status check of any…</t>
        </is>
      </c>
      <c r="F144" t="inlineStr">
        <is>
          <t xml:space="preserve">Fix – Data Integrity</t>
        </is>
      </c>
      <c r="G144" t="inlineStr">
        <is>
          <t xml:space="preserve">High</t>
        </is>
      </c>
      <c r="H144" t="inlineStr">
        <is>
          <t xml:space="preserve">Built – audit finding</t>
        </is>
      </c>
      <c r="I144">
        <v>3.0</v>
      </c>
      <c r="J144">
        <v>1.5</v>
      </c>
      <c r="K144">
        <v>4.5</v>
      </c>
      <c r="L144" t="inlineStr">
        <is>
          <t xml:space="preserve">Backlog ref #118 · verdict CONFIRMED</t>
        </is>
      </c>
    </row>
    <row r="145">
      <c r="A145">
        <v>134</v>
      </c>
      <c r="B145" t="inlineStr">
        <is>
          <t xml:space="preserve">Code Audit</t>
        </is>
      </c>
      <c r="C145" t="inlineStr">
        <is>
          <t xml:space="preserve">Deployment · Config · Ops Readiness</t>
        </is>
      </c>
      <c r="D145" t="inlineStr">
        <is>
          <t xml:space="preserve">Cross-cutting — Backend CI/CD</t>
        </is>
      </c>
      <c r="E145" t="inlineStr">
        <is>
          <t xml:space="preserve">CI/CD pipeline existence: Confirmed — there is no automated build/test/migration/deploy pipeline for the .NET backend anywhere in its own git repo.</t>
        </is>
      </c>
      <c r="F145" t="inlineStr">
        <is>
          <t xml:space="preserve">Ops/Config</t>
        </is>
      </c>
      <c r="G145" t="inlineStr">
        <is>
          <t xml:space="preserve">High</t>
        </is>
      </c>
      <c r="H145" t="inlineStr">
        <is>
          <t xml:space="preserve">Built – audit finding</t>
        </is>
      </c>
      <c r="I145">
        <v>3.0</v>
      </c>
      <c r="J145">
        <v>1.5</v>
      </c>
      <c r="K145">
        <v>4.5</v>
      </c>
      <c r="L145" t="inlineStr">
        <is>
          <t xml:space="preserve">Backlog ref #119 · verdict CONFIRMED</t>
        </is>
      </c>
    </row>
    <row r="146">
      <c r="A146">
        <v>135</v>
      </c>
      <c r="B146" t="inlineStr">
        <is>
          <t xml:space="preserve">Code Audit</t>
        </is>
      </c>
      <c r="C146" t="inlineStr">
        <is>
          <t xml:space="preserve">Deployment · Config · Ops Readiness</t>
        </is>
      </c>
      <c r="D146" t="inlineStr">
        <is>
          <t xml:space="preserve">Cross-cutting — Backend configuration loading</t>
        </is>
      </c>
      <c r="E146" t="inlineStr">
        <is>
          <t xml:space="preserve">Environment/config management: Confirmed by repo-wide search: the only appsettings*.json file anywhere in the backend repo (outside obj/bin) is the single base appsettings.json. No appsettings.Development/QA/UAT/Production.json exist.</t>
        </is>
      </c>
      <c r="F146" t="inlineStr">
        <is>
          <t xml:space="preserve">Ops/Config</t>
        </is>
      </c>
      <c r="G146" t="inlineStr">
        <is>
          <t xml:space="preserve">High</t>
        </is>
      </c>
      <c r="H146" t="inlineStr">
        <is>
          <t xml:space="preserve">Built – audit finding</t>
        </is>
      </c>
      <c r="I146">
        <v>3.0</v>
      </c>
      <c r="J146">
        <v>1.5</v>
      </c>
      <c r="K146">
        <v>4.5</v>
      </c>
      <c r="L146" t="inlineStr">
        <is>
          <t xml:space="preserve">Backlog ref #120 · verdict CONFIRMED</t>
        </is>
      </c>
    </row>
    <row r="147">
      <c r="A147">
        <v>136</v>
      </c>
      <c r="B147" t="inlineStr">
        <is>
          <t xml:space="preserve">Code Audit</t>
        </is>
      </c>
      <c r="C147" t="inlineStr">
        <is>
          <t xml:space="preserve">Deployment · Config · Ops Readiness</t>
        </is>
      </c>
      <c r="D147" t="inlineStr">
        <is>
          <t xml:space="preserve">Cross-cutting — Backend health endpoint</t>
        </is>
      </c>
      <c r="E147" t="inlineStr">
        <is>
          <t xml:space="preserve">Health/readiness endpoint: Confirmed exactly as described — AddSqlServer uses Microsoft.Data.SqlClient's SqlConnectionStringBuilder/SqlConnection, which does not recognize Npgsql keywords like 'Host' or 'Username' and will throw (ArgumentException: keyword not suppo…</t>
        </is>
      </c>
      <c r="F147" t="inlineStr">
        <is>
          <t xml:space="preserve">Ops/Config</t>
        </is>
      </c>
      <c r="G147" t="inlineStr">
        <is>
          <t xml:space="preserve">High</t>
        </is>
      </c>
      <c r="H147" t="inlineStr">
        <is>
          <t xml:space="preserve">Built – audit finding</t>
        </is>
      </c>
      <c r="I147">
        <v>3.0</v>
      </c>
      <c r="J147">
        <v>1.5</v>
      </c>
      <c r="K147">
        <v>4.5</v>
      </c>
      <c r="L147" t="inlineStr">
        <is>
          <t xml:space="preserve">Backlog ref #121 · verdict CONFIRMED</t>
        </is>
      </c>
    </row>
    <row r="148">
      <c r="A148">
        <v>137</v>
      </c>
      <c r="B148" t="inlineStr">
        <is>
          <t xml:space="preserve">Code Audit</t>
        </is>
      </c>
      <c r="C148" t="inlineStr">
        <is>
          <t xml:space="preserve">Deployment · Config · Ops Readiness</t>
        </is>
      </c>
      <c r="D148" t="inlineStr">
        <is>
          <t xml:space="preserve">Cross-cutting — Backend startup (Program.cs)</t>
        </is>
      </c>
      <c r="E148" t="inlineStr">
        <is>
          <t xml:space="preserve">DB migration strategy: Confirmed — no pipeline, console app, or script anywhere in the repo applies migrations for non-Development environments. Combined with the confirmed absence of any backend CI/CD pipeline and only one appsettings.json existing in the whole…</t>
        </is>
      </c>
      <c r="F148" t="inlineStr">
        <is>
          <t xml:space="preserve">Ops/Config</t>
        </is>
      </c>
      <c r="G148" t="inlineStr">
        <is>
          <t xml:space="preserve">High</t>
        </is>
      </c>
      <c r="H148" t="inlineStr">
        <is>
          <t xml:space="preserve">Built – audit finding</t>
        </is>
      </c>
      <c r="I148">
        <v>3.0</v>
      </c>
      <c r="J148">
        <v>1.5</v>
      </c>
      <c r="K148">
        <v>4.5</v>
      </c>
      <c r="L148" t="inlineStr">
        <is>
          <t xml:space="preserve">Backlog ref #122 · verdict CONFIRMED</t>
        </is>
      </c>
    </row>
    <row r="149">
      <c r="A149">
        <v>138</v>
      </c>
      <c r="B149" t="inlineStr">
        <is>
          <t xml:space="preserve">Code Audit</t>
        </is>
      </c>
      <c r="C149" t="inlineStr">
        <is>
          <t xml:space="preserve">Error Handling · Logging · Monitoring</t>
        </is>
      </c>
      <c r="D149" t="inlineStr">
        <is>
          <t xml:space="preserve">Cross-cutting — /graphql request logging (webhook/full-body logging path)</t>
        </is>
      </c>
      <c r="E149" t="inlineStr">
        <is>
          <t xml:space="preserve">Sensitive data in application logs: Confirmed: no field-level redaction exists for GraphQL variables (password, tokens, payment nonces, PII) anywhere in the body-logging path, and Program.cs:18 sets retainedFileCountLimit: 30 (30 days of rolling local log files).</t>
        </is>
      </c>
      <c r="F149" t="inlineStr">
        <is>
          <t xml:space="preserve">Fix – Security</t>
        </is>
      </c>
      <c r="G149" t="inlineStr">
        <is>
          <t xml:space="preserve">High</t>
        </is>
      </c>
      <c r="H149" t="inlineStr">
        <is>
          <t xml:space="preserve">Built – audit finding</t>
        </is>
      </c>
      <c r="I149">
        <v>3.0</v>
      </c>
      <c r="J149">
        <v>1.5</v>
      </c>
      <c r="K149">
        <v>4.5</v>
      </c>
      <c r="L149" t="inlineStr">
        <is>
          <t xml:space="preserve">Backlog ref #123 · verdict CONFIRMED</t>
        </is>
      </c>
    </row>
    <row r="150">
      <c r="A150">
        <v>139</v>
      </c>
      <c r="B150" t="inlineStr">
        <is>
          <t xml:space="preserve">Code Audit</t>
        </is>
      </c>
      <c r="C150" t="inlineStr">
        <is>
          <t xml:space="preserve">Error Handling · Logging · Monitoring</t>
        </is>
      </c>
      <c r="D150" t="inlineStr">
        <is>
          <t xml:space="preserve">Cross-cutting — /health endpoint (used by load balancers / orchestrators / upti…</t>
        </is>
      </c>
      <c r="E150" t="inlineStr">
        <is>
          <t xml:space="preserve">Database health check probe: Confirmed: the application's actual DB provider is PostgreSQL everywhere — Base.Infrastructure/DependencyInjection.cs:44 (UseNpgsql), ApplicationDbContextFactory.cs:40 (UseNpgsql), Base.API/DependencyInjection.cs:96 (Hangfire UseNpgsqlConn…</t>
        </is>
      </c>
      <c r="F150" t="inlineStr">
        <is>
          <t xml:space="preserve">Ops/Config</t>
        </is>
      </c>
      <c r="G150" t="inlineStr">
        <is>
          <t xml:space="preserve">High</t>
        </is>
      </c>
      <c r="H150" t="inlineStr">
        <is>
          <t xml:space="preserve">Built – audit finding</t>
        </is>
      </c>
      <c r="I150">
        <v>3.0</v>
      </c>
      <c r="J150">
        <v>1.5</v>
      </c>
      <c r="K150">
        <v>4.5</v>
      </c>
      <c r="L150" t="inlineStr">
        <is>
          <t xml:space="preserve">Backlog ref #124 · verdict CONFIRMED</t>
        </is>
      </c>
    </row>
    <row r="151">
      <c r="A151">
        <v>140</v>
      </c>
      <c r="B151" t="inlineStr">
        <is>
          <t xml:space="preserve">Code Audit</t>
        </is>
      </c>
      <c r="C151" t="inlineStr">
        <is>
          <t xml:space="preserve">Error Handling · Logging · Monitoring</t>
        </is>
      </c>
      <c r="D151" t="inlineStr">
        <is>
          <t xml:space="preserve">Cross-cutting — Hangfire background jobs (PayU SI recurring-charge cron, import…</t>
        </is>
      </c>
      <c r="E151" t="inlineStr">
        <is>
          <t xml:space="preserve">Background job failure visibility / alerting: Confirmed: the dashboard gate at Program.cs:56 is IsDevelopment()-only, so there is no production-reachable dashboard. AutomaticRetry(Attempts=0) is confirmed on PayURecurringChargeService.cs, OnlineDonationMapJobRunner.cs, EventCommunicat…</t>
        </is>
      </c>
      <c r="F151" t="inlineStr">
        <is>
          <t xml:space="preserve">Ops/Config</t>
        </is>
      </c>
      <c r="G151" t="inlineStr">
        <is>
          <t xml:space="preserve">High</t>
        </is>
      </c>
      <c r="H151" t="inlineStr">
        <is>
          <t xml:space="preserve">Built – audit finding</t>
        </is>
      </c>
      <c r="I151">
        <v>3.0</v>
      </c>
      <c r="J151">
        <v>1.5</v>
      </c>
      <c r="K151">
        <v>4.5</v>
      </c>
      <c r="L151" t="inlineStr">
        <is>
          <t xml:space="preserve">Backlog ref #125 · verdict CONFIRMED</t>
        </is>
      </c>
    </row>
    <row r="152">
      <c r="A152">
        <v>141</v>
      </c>
      <c r="B152" t="inlineStr">
        <is>
          <t xml:space="preserve">Code Audit</t>
        </is>
      </c>
      <c r="C152" t="inlineStr">
        <is>
          <t xml:space="preserve">Error Handling · Logging · Monitoring</t>
        </is>
      </c>
      <c r="D152" t="inlineStr">
        <is>
          <t xml:space="preserve">Cross-cutting — production observability (backend + frontend)</t>
        </is>
      </c>
      <c r="E152" t="inlineStr">
        <is>
          <t xml:space="preserve">APM / error-tracking / metrics telemetry: Confirmed: no Application Insights/OpenTelemetry/Sentry/Seq package anywhere in Base.API.csproj. Frontend package.json has no Sentry/LogRocket/Datadog/Bugsnag dependency. A targeted grep for `window.addEventListener('error'|'unhandledrejec…</t>
        </is>
      </c>
      <c r="F152" t="inlineStr">
        <is>
          <t xml:space="preserve">Ops/Config</t>
        </is>
      </c>
      <c r="G152" t="inlineStr">
        <is>
          <t xml:space="preserve">High</t>
        </is>
      </c>
      <c r="H152" t="inlineStr">
        <is>
          <t xml:space="preserve">Built – audit finding</t>
        </is>
      </c>
      <c r="I152">
        <v>3.0</v>
      </c>
      <c r="J152">
        <v>1.5</v>
      </c>
      <c r="K152">
        <v>4.5</v>
      </c>
      <c r="L152" t="inlineStr">
        <is>
          <t xml:space="preserve">Backlog ref #126 · verdict CONFIRMED</t>
        </is>
      </c>
    </row>
    <row r="153">
      <c r="A153">
        <v>142</v>
      </c>
      <c r="B153" t="inlineStr">
        <is>
          <t xml:space="preserve">Code Audit</t>
        </is>
      </c>
      <c r="C153" t="inlineStr">
        <is>
          <t xml:space="preserve">Error Handling · Logging · Monitoring</t>
        </is>
      </c>
      <c r="D153" t="inlineStr">
        <is>
          <t xml:space="preserve">Cross-cutting — Serilog structured logging pipeline</t>
        </is>
      </c>
      <c r="E153" t="inlineStr">
        <is>
          <t xml:space="preserve">Correlation ID propagation across request lifecycle: Confirmed: repo-wide grep for 'LogContext.PushProperty'/'PushProperty' returns zero hits anywhere in the backend, so FromLogContext has nothing pushed into it. Three unrelated identifier schemes exist (local requestId, TraceIdentifier, and…</t>
        </is>
      </c>
      <c r="F153" t="inlineStr">
        <is>
          <t xml:space="preserve">Fix</t>
        </is>
      </c>
      <c r="G153" t="inlineStr">
        <is>
          <t xml:space="preserve">High</t>
        </is>
      </c>
      <c r="H153" t="inlineStr">
        <is>
          <t xml:space="preserve">Built – audit finding</t>
        </is>
      </c>
      <c r="I153">
        <v>2.5</v>
      </c>
      <c r="J153">
        <v>1.25</v>
      </c>
      <c r="K153">
        <v>3.75</v>
      </c>
      <c r="L153" t="inlineStr">
        <is>
          <t xml:space="preserve">Backlog ref #127 · verdict CONFIRMED</t>
        </is>
      </c>
    </row>
    <row r="154">
      <c r="A154">
        <v>143</v>
      </c>
      <c r="B154" t="inlineStr">
        <is>
          <t xml:space="preserve">Code Audit</t>
        </is>
      </c>
      <c r="C154" t="inlineStr">
        <is>
          <t xml:space="preserve">Error Handling · Logging · Monitoring</t>
        </is>
      </c>
      <c r="D154" t="inlineStr">
        <is>
          <t xml:space="preserve">Public donor-facing pages — (public) route group: online donation, crowdfund, P…</t>
        </is>
      </c>
      <c r="E154" t="inlineStr">
        <is>
          <t xml:space="preserve">Client-side error boundary coverage and reporting: Confirmed exactly as described: no error.tsx exists under any (public) route segment (crowdfund/p2p/event/payu/pray/volunteer/embed/preview), and no app/global-error.tsx exists to catch root-layout errors. The two existing boundaries never…</t>
        </is>
      </c>
      <c r="F154" t="inlineStr">
        <is>
          <t xml:space="preserve">Fix – UI/UX</t>
        </is>
      </c>
      <c r="G154" t="inlineStr">
        <is>
          <t xml:space="preserve">High</t>
        </is>
      </c>
      <c r="H154" t="inlineStr">
        <is>
          <t xml:space="preserve">Built – audit finding</t>
        </is>
      </c>
      <c r="I154">
        <v>2.0</v>
      </c>
      <c r="J154">
        <v>1.0</v>
      </c>
      <c r="K154">
        <v>3.0</v>
      </c>
      <c r="L154" t="inlineStr">
        <is>
          <t xml:space="preserve">Backlog ref #128 · verdict CONFIRMED</t>
        </is>
      </c>
    </row>
    <row r="155">
      <c r="A155">
        <v>144</v>
      </c>
      <c r="B155" t="inlineStr">
        <is>
          <t xml:space="preserve">Code Audit</t>
        </is>
      </c>
      <c r="C155" t="inlineStr">
        <is>
          <t xml:space="preserve">Field Collection · Ambassador</t>
        </is>
      </c>
      <c r="D155" t="inlineStr">
        <is>
          <t xml:space="preserve">Ambassador (profile edit)</t>
        </is>
      </c>
      <c r="E155" t="inlineStr">
        <is>
          <t xml:space="preserve">Update Ambassador (settlement terms: CompensationType, CommissionPercent, StaffId, Status): Ambassador Update has the same missing-tenant-scope IDOR as the collection mutations, exposing commission/settlement terms.</t>
        </is>
      </c>
      <c r="F155" t="inlineStr">
        <is>
          <t xml:space="preserve">Fix – Security</t>
        </is>
      </c>
      <c r="G155" t="inlineStr">
        <is>
          <t xml:space="preserve">High</t>
        </is>
      </c>
      <c r="H155" t="inlineStr">
        <is>
          <t xml:space="preserve">Built – audit finding</t>
        </is>
      </c>
      <c r="I155">
        <v>3.0</v>
      </c>
      <c r="J155">
        <v>1.5</v>
      </c>
      <c r="K155">
        <v>4.5</v>
      </c>
      <c r="L155" t="inlineStr">
        <is>
          <t xml:space="preserve">Backlog ref #129 · verdict CONFIRMED</t>
        </is>
      </c>
    </row>
    <row r="156">
      <c r="A156">
        <v>145</v>
      </c>
      <c r="B156" t="inlineStr">
        <is>
          <t xml:space="preserve">Code Audit</t>
        </is>
      </c>
      <c r="C156" t="inlineStr">
        <is>
          <t xml:space="preserve">Field Collection · Ambassador</t>
        </is>
      </c>
      <c r="D156" t="inlineStr">
        <is>
          <t xml:space="preserve">Ambassador / Receipt Book</t>
        </is>
      </c>
      <c r="E156" t="inlineStr">
        <is>
          <t xml:space="preserve">Assign Receipt Book to Ambassador: The same physical receipt book can be actively assigned to two different ambassadors simultaneously.</t>
        </is>
      </c>
      <c r="F156" t="inlineStr">
        <is>
          <t xml:space="preserve">Fix – Business Logic</t>
        </is>
      </c>
      <c r="G156" t="inlineStr">
        <is>
          <t xml:space="preserve">High</t>
        </is>
      </c>
      <c r="H156" t="inlineStr">
        <is>
          <t xml:space="preserve">Built – audit finding</t>
        </is>
      </c>
      <c r="I156">
        <v>3.0</v>
      </c>
      <c r="J156">
        <v>1.5</v>
      </c>
      <c r="K156">
        <v>4.5</v>
      </c>
      <c r="L156" t="inlineStr">
        <is>
          <t xml:space="preserve">Backlog ref #130 · verdict ADJUSTED</t>
        </is>
      </c>
    </row>
    <row r="157">
      <c r="A157">
        <v>146</v>
      </c>
      <c r="B157" t="inlineStr">
        <is>
          <t xml:space="preserve">Code Audit</t>
        </is>
      </c>
      <c r="C157" t="inlineStr">
        <is>
          <t xml:space="preserve">Field Collection · Ambassador</t>
        </is>
      </c>
      <c r="D157" t="inlineStr">
        <is>
          <t xml:space="preserve">Ambassador Collection Distribution (cash allocation to donor purposes)</t>
        </is>
      </c>
      <c r="E157" t="inlineStr">
        <is>
          <t xml:space="preserve">Distribute a collected donation across ContactDonationPurpose / donor allocations: Any number of distribution records, in any currency and amount, can be created against a single AmbassadorCollection with no cross-check to the actual amount collected.</t>
        </is>
      </c>
      <c r="F157" t="inlineStr">
        <is>
          <t xml:space="preserve">Fix – Business Logic</t>
        </is>
      </c>
      <c r="G157" t="inlineStr">
        <is>
          <t xml:space="preserve">High</t>
        </is>
      </c>
      <c r="H157" t="inlineStr">
        <is>
          <t xml:space="preserve">Built – audit finding</t>
        </is>
      </c>
      <c r="I157">
        <v>3.0</v>
      </c>
      <c r="J157">
        <v>1.5</v>
      </c>
      <c r="K157">
        <v>4.5</v>
      </c>
      <c r="L157" t="inlineStr">
        <is>
          <t xml:space="preserve">Backlog ref #131 · verdict CONFIRMED</t>
        </is>
      </c>
    </row>
    <row r="158">
      <c r="A158">
        <v>147</v>
      </c>
      <c r="B158" t="inlineStr">
        <is>
          <t xml:space="preserve">Code Audit</t>
        </is>
      </c>
      <c r="C158" t="inlineStr">
        <is>
          <t xml:space="preserve">Field Collection · Ambassador</t>
        </is>
      </c>
      <c r="D158" t="inlineStr">
        <is>
          <t xml:space="preserve">Ambassador Performance / Record Collection summary</t>
        </is>
      </c>
      <c r="E158" t="inlineStr">
        <is>
          <t xml:space="preserve">Multi-currency donation total aggregation: KPI totals, ambassador leaderboard ranking, and average-per-visit are all computed by summing raw DonationAmount values across mixed currencies as if they were the same unit.</t>
        </is>
      </c>
      <c r="F158" t="inlineStr">
        <is>
          <t xml:space="preserve">Fix – Currency</t>
        </is>
      </c>
      <c r="G158" t="inlineStr">
        <is>
          <t xml:space="preserve">High</t>
        </is>
      </c>
      <c r="H158" t="inlineStr">
        <is>
          <t xml:space="preserve">Built – audit finding</t>
        </is>
      </c>
      <c r="I158">
        <v>3.5</v>
      </c>
      <c r="J158">
        <v>1.75</v>
      </c>
      <c r="K158">
        <v>5.25</v>
      </c>
      <c r="L158" t="inlineStr">
        <is>
          <t xml:space="preserve">Backlog ref #132 · verdict CONFIRMED</t>
        </is>
      </c>
    </row>
    <row r="159">
      <c r="A159">
        <v>148</v>
      </c>
      <c r="B159" t="inlineStr">
        <is>
          <t xml:space="preserve">Code Audit</t>
        </is>
      </c>
      <c r="C159" t="inlineStr">
        <is>
          <t xml:space="preserve">Field Collection · Ambassador</t>
        </is>
      </c>
      <c r="D159" t="inlineStr">
        <is>
          <t xml:space="preserve">Record Collection / Receipt Book</t>
        </is>
      </c>
      <c r="E159" t="inlineStr">
        <is>
          <t xml:space="preserve">Receipt-number validation against physical book range: There is no working mechanism reconciling receipts physically printed in a book against receipts recorded as collections for the Ambassador Collection flow specifically.</t>
        </is>
      </c>
      <c r="F159" t="inlineStr">
        <is>
          <t xml:space="preserve">Fix – Business Logic</t>
        </is>
      </c>
      <c r="G159" t="inlineStr">
        <is>
          <t xml:space="preserve">High</t>
        </is>
      </c>
      <c r="H159" t="inlineStr">
        <is>
          <t xml:space="preserve">Built – audit finding</t>
        </is>
      </c>
      <c r="I159">
        <v>3.0</v>
      </c>
      <c r="J159">
        <v>1.5</v>
      </c>
      <c r="K159">
        <v>4.5</v>
      </c>
      <c r="L159" t="inlineStr">
        <is>
          <t xml:space="preserve">Backlog ref #133 · verdict ADJUSTED</t>
        </is>
      </c>
    </row>
    <row r="160">
      <c r="A160">
        <v>149</v>
      </c>
      <c r="B160" t="inlineStr">
        <is>
          <t xml:space="preserve">Code Audit</t>
        </is>
      </c>
      <c r="C160" t="inlineStr">
        <is>
          <t xml:space="preserve">Field Collection · Ambassador</t>
        </is>
      </c>
      <c r="D160" t="inlineStr">
        <is>
          <t xml:space="preserve">Record Collection form</t>
        </is>
      </c>
      <c r="E160" t="inlineStr">
        <is>
          <t xml:space="preserve">Receipt photo evidence &amp; field location capture: The two evidentiary controls this field-collection workflow depends on for cash-integrity verification — photographic proof of the receipt and the collection's actual location — are non-functional/manually-typed respectively.</t>
        </is>
      </c>
      <c r="F160" t="inlineStr">
        <is>
          <t xml:space="preserve">Fix</t>
        </is>
      </c>
      <c r="G160" t="inlineStr">
        <is>
          <t xml:space="preserve">High</t>
        </is>
      </c>
      <c r="H160" t="inlineStr">
        <is>
          <t xml:space="preserve">Built – audit finding</t>
        </is>
      </c>
      <c r="I160">
        <v>2.5</v>
      </c>
      <c r="J160">
        <v>1.25</v>
      </c>
      <c r="K160">
        <v>3.75</v>
      </c>
      <c r="L160" t="inlineStr">
        <is>
          <t xml:space="preserve">Backlog ref #134 · verdict CONFIRMED</t>
        </is>
      </c>
    </row>
    <row r="161">
      <c r="A161">
        <v>150</v>
      </c>
      <c r="B161" t="inlineStr">
        <is>
          <t xml:space="preserve">Code Audit</t>
        </is>
      </c>
      <c r="C161" t="inlineStr">
        <is>
          <t xml:space="preserve">Fundraising · Campaigns &amp; Intake</t>
        </is>
      </c>
      <c r="D161" t="inlineStr">
        <is>
          <t xml:space="preserve">Bulk Donation Import</t>
        </is>
      </c>
      <c r="E161" t="inlineStr">
        <is>
          <t xml:space="preserve">Historical/offline donation batch import -&gt; fund.GlobalDonations (payment status): Every bulk-imported donation, regardless of whether the source system recorded it as already completed/settled, is force-set to PENDING (or whichever master-data row matches that preference order).</t>
        </is>
      </c>
      <c r="F161" t="inlineStr">
        <is>
          <t xml:space="preserve">Fix – Data Integrity</t>
        </is>
      </c>
      <c r="G161" t="inlineStr">
        <is>
          <t xml:space="preserve">High</t>
        </is>
      </c>
      <c r="H161" t="inlineStr">
        <is>
          <t xml:space="preserve">Built – audit finding</t>
        </is>
      </c>
      <c r="I161">
        <v>3.0</v>
      </c>
      <c r="J161">
        <v>1.5</v>
      </c>
      <c r="K161">
        <v>4.5</v>
      </c>
      <c r="L161" t="inlineStr">
        <is>
          <t xml:space="preserve">Backlog ref #135 · verdict CONFIRMED</t>
        </is>
      </c>
    </row>
    <row r="162">
      <c r="A162">
        <v>151</v>
      </c>
      <c r="B162" t="inlineStr">
        <is>
          <t xml:space="preserve">Code Audit</t>
        </is>
      </c>
      <c r="C162" t="inlineStr">
        <is>
          <t xml:space="preserve">Fundraising · Campaigns &amp; Intake</t>
        </is>
      </c>
      <c r="D162" t="inlineStr">
        <is>
          <t xml:space="preserve">Donation Inbox (#175) — ResolveOnlineDonationStaging</t>
        </is>
      </c>
      <c r="E162" t="inlineStr">
        <is>
          <t xml:space="preserve">Manual staging -&gt; GlobalDonation promotion, contact-resolution requirement: Because P2P/CrowdFund staging rows are never auto-promoted (Finding 1), they always require a staff-assigned ContactId to reach the ledger -- there is no path today for an anonymous, contact-less P2P/CrowdFund donation to ever become a Glo…</t>
        </is>
      </c>
      <c r="F162" t="inlineStr">
        <is>
          <t xml:space="preserve">Fix – Business Logic</t>
        </is>
      </c>
      <c r="G162" t="inlineStr">
        <is>
          <t xml:space="preserve">High</t>
        </is>
      </c>
      <c r="H162" t="inlineStr">
        <is>
          <t xml:space="preserve">Built – audit finding</t>
        </is>
      </c>
      <c r="I162">
        <v>3.0</v>
      </c>
      <c r="J162">
        <v>1.5</v>
      </c>
      <c r="K162">
        <v>4.5</v>
      </c>
      <c r="L162" t="inlineStr">
        <is>
          <t xml:space="preserve">Backlog ref #136 · verdict ADJUSTED</t>
        </is>
      </c>
    </row>
    <row r="163">
      <c r="A163">
        <v>152</v>
      </c>
      <c r="B163" t="inlineStr">
        <is>
          <t xml:space="preserve">Code Audit</t>
        </is>
      </c>
      <c r="C163" t="inlineStr">
        <is>
          <t xml:space="preserve">Fundraising · Campaigns &amp; Intake</t>
        </is>
      </c>
      <c r="D163" t="inlineStr">
        <is>
          <t xml:space="preserve">Online Donation Page / P2P / CrowdFund — gateway webhook &amp; confirm idempotency</t>
        </is>
      </c>
      <c r="E163" t="inlineStr">
        <is>
          <t xml:space="preserve">Duplicate-promotion guard for captured donations (UX_GlobalOnlineDonations_Company_GatewayTxn): No EF Core migration exists that actually creates this index in the database. Grepping Base.Infrastructure/Migrations/*.cs and ApplicationDbContextModelSnapshot.cs for 'UX_GlobalOnlineDonations' returns zero matches. `git show --stat` on t…</t>
        </is>
      </c>
      <c r="F163" t="inlineStr">
        <is>
          <t xml:space="preserve">Fix – Concurrency</t>
        </is>
      </c>
      <c r="G163" t="inlineStr">
        <is>
          <t xml:space="preserve">High</t>
        </is>
      </c>
      <c r="H163" t="inlineStr">
        <is>
          <t xml:space="preserve">Built – audit finding</t>
        </is>
      </c>
      <c r="I163">
        <v>3.5</v>
      </c>
      <c r="J163">
        <v>1.75</v>
      </c>
      <c r="K163">
        <v>5.25</v>
      </c>
      <c r="L163" t="inlineStr">
        <is>
          <t xml:space="preserve">Backlog ref #137 · verdict CONFIRMED</t>
        </is>
      </c>
    </row>
    <row r="164">
      <c r="A164">
        <v>153</v>
      </c>
      <c r="B164" t="inlineStr">
        <is>
          <t xml:space="preserve">Code Audit</t>
        </is>
      </c>
      <c r="C164" t="inlineStr">
        <is>
          <t xml:space="preserve">Fundraising · Campaigns &amp; Intake</t>
        </is>
      </c>
      <c r="D164" t="inlineStr">
        <is>
          <t xml:space="preserve">Online Donation Page / P2P Campaign donation / CrowdFund donation — post-paymen…</t>
        </is>
      </c>
      <c r="E164" t="inlineStr">
        <is>
          <t xml:space="preserve">Donor receipt/thank-you email on successful donation: No donor ever receives an automatic confirmation/receipt email immediately after a successful donation, across all three public funnels (ODP, P2P, CrowdFund), one-time or recurring.</t>
        </is>
      </c>
      <c r="F164" t="inlineStr">
        <is>
          <t xml:space="preserve">Fix</t>
        </is>
      </c>
      <c r="G164" t="inlineStr">
        <is>
          <t xml:space="preserve">High</t>
        </is>
      </c>
      <c r="H164" t="inlineStr">
        <is>
          <t xml:space="preserve">Built – audit finding</t>
        </is>
      </c>
      <c r="I164">
        <v>2.5</v>
      </c>
      <c r="J164">
        <v>1.25</v>
      </c>
      <c r="K164">
        <v>3.75</v>
      </c>
      <c r="L164" t="inlineStr">
        <is>
          <t xml:space="preserve">Backlog ref #138 · verdict CONFIRMED</t>
        </is>
      </c>
    </row>
    <row r="165">
      <c r="A165">
        <v>154</v>
      </c>
      <c r="B165" t="inlineStr">
        <is>
          <t xml:space="preserve">Code Audit</t>
        </is>
      </c>
      <c r="C165" t="inlineStr">
        <is>
          <t xml:space="preserve">Fundraising · Donations &amp; Receipts</t>
        </is>
      </c>
      <c r="D165" t="inlineStr">
        <is>
          <t xml:space="preserve">Cheque Donation — Bounce transition</t>
        </is>
      </c>
      <c r="E165" t="inlineStr">
        <is>
          <t xml:space="preserve">Bounced cheque leaves parent donation unresolved: BounceChequeDonation only mutates the child ChequeDonation row (ChequeStatusId/ChequeBouncedDate/ChequeBouncedReason/ChequeIsBounced/ChequeIsCleared); it never touches the parent GlobalDonation's PaymentStatusId, ReceiptNumber, DonationAmo…</t>
        </is>
      </c>
      <c r="F165" t="inlineStr">
        <is>
          <t xml:space="preserve">Fix – Business Logic</t>
        </is>
      </c>
      <c r="G165" t="inlineStr">
        <is>
          <t xml:space="preserve">High</t>
        </is>
      </c>
      <c r="H165" t="inlineStr">
        <is>
          <t xml:space="preserve">Built – audit finding</t>
        </is>
      </c>
      <c r="I165">
        <v>3.0</v>
      </c>
      <c r="J165">
        <v>1.5</v>
      </c>
      <c r="K165">
        <v>4.5</v>
      </c>
      <c r="L165" t="inlineStr">
        <is>
          <t xml:space="preserve">Backlog ref #139 · verdict CONFIRMED</t>
        </is>
      </c>
    </row>
    <row r="166">
      <c r="A166">
        <v>155</v>
      </c>
      <c r="B166" t="inlineStr">
        <is>
          <t xml:space="preserve">Code Audit</t>
        </is>
      </c>
      <c r="C166" t="inlineStr">
        <is>
          <t xml:space="preserve">Fundraising · Donations &amp; Receipts</t>
        </is>
      </c>
      <c r="D166" t="inlineStr">
        <is>
          <t xml:space="preserve">Cheque Donation — entry (both GlobalDonation composite flow and standalone flow)</t>
        </is>
      </c>
      <c r="E166" t="inlineStr">
        <is>
          <t xml:space="preserve">Cheque uniqueness pre-check missing CompanyId scope: Both the composite-flow validator (CreateGlobalDonationWithChildren.cs) and the standalone CreateChequeDonation validator run a ChequeNo-uniqueness pre-check (c.ChequeNo == chequeNo &amp;&amp; c.IsDeleted == false) with no CompanyId predicate, des…</t>
        </is>
      </c>
      <c r="F166" t="inlineStr">
        <is>
          <t xml:space="preserve">Fix</t>
        </is>
      </c>
      <c r="G166" t="inlineStr">
        <is>
          <t xml:space="preserve">High</t>
        </is>
      </c>
      <c r="H166" t="inlineStr">
        <is>
          <t xml:space="preserve">Built – audit finding</t>
        </is>
      </c>
      <c r="I166">
        <v>2.5</v>
      </c>
      <c r="J166">
        <v>1.25</v>
      </c>
      <c r="K166">
        <v>3.75</v>
      </c>
      <c r="L166" t="inlineStr">
        <is>
          <t xml:space="preserve">Backlog ref #140 · verdict CONFIRMED</t>
        </is>
      </c>
    </row>
    <row r="167">
      <c r="A167">
        <v>156</v>
      </c>
      <c r="B167" t="inlineStr">
        <is>
          <t xml:space="preserve">Code Audit</t>
        </is>
      </c>
      <c r="C167" t="inlineStr">
        <is>
          <t xml:space="preserve">Fundraising · Donations &amp; Receipts</t>
        </is>
      </c>
      <c r="D167" t="inlineStr">
        <is>
          <t xml:space="preserve">Donation Purpose master — Delete</t>
        </is>
      </c>
      <c r="E167" t="inlineStr">
        <is>
          <t xml:space="preserve">Donation Purpose master delete safeguard: DeleteDonationPurpose.cs's validator calls only ValidatePropertyIsRequired + FindInActiveRecordByProperty, with no ValidateNotReferencedInAnyCollection call, unlike its sibling masters DeleteDonationCategory.cs and DeleteDonationGroup.cs w…</t>
        </is>
      </c>
      <c r="F167" t="inlineStr">
        <is>
          <t xml:space="preserve">Fix – Data Integrity</t>
        </is>
      </c>
      <c r="G167" t="inlineStr">
        <is>
          <t xml:space="preserve">High</t>
        </is>
      </c>
      <c r="H167" t="inlineStr">
        <is>
          <t xml:space="preserve">Built – audit finding</t>
        </is>
      </c>
      <c r="I167">
        <v>3.0</v>
      </c>
      <c r="J167">
        <v>1.5</v>
      </c>
      <c r="K167">
        <v>4.5</v>
      </c>
      <c r="L167" t="inlineStr">
        <is>
          <t xml:space="preserve">Backlog ref #141 · verdict CONFIRMED</t>
        </is>
      </c>
    </row>
    <row r="168">
      <c r="A168">
        <v>157</v>
      </c>
      <c r="B168" t="inlineStr">
        <is>
          <t xml:space="preserve">Code Audit</t>
        </is>
      </c>
      <c r="C168" t="inlineStr">
        <is>
          <t xml:space="preserve">Fundraising · Donations &amp; Receipts</t>
        </is>
      </c>
      <c r="D168" t="inlineStr">
        <is>
          <t xml:space="preserve">Receipt (GlobalReceipt) — number generation</t>
        </is>
      </c>
      <c r="E168" t="inlineStr">
        <is>
          <t xml:space="preserve">Receipt number uniqueness has no DB backstop: GlobalDonationConfiguration.cs has no unique index (filtered or otherwise) on ReceiptNumber anywhere in the file, so uniqueness relies entirely on every write path routing through the application-level NumberSequenceGenerator.</t>
        </is>
      </c>
      <c r="F168" t="inlineStr">
        <is>
          <t xml:space="preserve">Fix – Data Integrity</t>
        </is>
      </c>
      <c r="G168" t="inlineStr">
        <is>
          <t xml:space="preserve">High</t>
        </is>
      </c>
      <c r="H168" t="inlineStr">
        <is>
          <t xml:space="preserve">Built – audit finding</t>
        </is>
      </c>
      <c r="I168">
        <v>3.0</v>
      </c>
      <c r="J168">
        <v>1.5</v>
      </c>
      <c r="K168">
        <v>4.5</v>
      </c>
      <c r="L168" t="inlineStr">
        <is>
          <t xml:space="preserve">Backlog ref #142 · verdict CONFIRMED</t>
        </is>
      </c>
    </row>
    <row r="169">
      <c r="A169">
        <v>158</v>
      </c>
      <c r="B169" t="inlineStr">
        <is>
          <t xml:space="preserve">Code Audit</t>
        </is>
      </c>
      <c r="C169" t="inlineStr">
        <is>
          <t xml:space="preserve">Fundraising · Donations &amp; Receipts</t>
        </is>
      </c>
      <c r="D169" t="inlineStr">
        <is>
          <t xml:space="preserve">Receipt Book — donation entry (mode=RECEIPTBOOK)</t>
        </is>
      </c>
      <c r="E169" t="inlineStr">
        <is>
          <t xml:space="preserve">Receipt book serial race condition: GlobalReceiptDonationInventory.ApplyOnCreateAsync does a plain FirstOrDefaultAsync check-then-act against ReceiptBookTransactions with no row lock and no backstopping DB unique constraint, so two concurrent submissions for the same book+se…</t>
        </is>
      </c>
      <c r="F169" t="inlineStr">
        <is>
          <t xml:space="preserve">Fix – Data Integrity</t>
        </is>
      </c>
      <c r="G169" t="inlineStr">
        <is>
          <t xml:space="preserve">High</t>
        </is>
      </c>
      <c r="H169" t="inlineStr">
        <is>
          <t xml:space="preserve">Built – audit finding</t>
        </is>
      </c>
      <c r="I169">
        <v>3.0</v>
      </c>
      <c r="J169">
        <v>1.5</v>
      </c>
      <c r="K169">
        <v>4.5</v>
      </c>
      <c r="L169" t="inlineStr">
        <is>
          <t xml:space="preserve">Backlog ref #143 · verdict ADJUSTED</t>
        </is>
      </c>
    </row>
    <row r="170">
      <c r="A170">
        <v>159</v>
      </c>
      <c r="B170" t="inlineStr">
        <is>
          <t xml:space="preserve">Code Audit</t>
        </is>
      </c>
      <c r="C170" t="inlineStr">
        <is>
          <t xml:space="preserve">Fundraising · Donations &amp; Receipts</t>
        </is>
      </c>
      <c r="D170" t="inlineStr">
        <is>
          <t xml:space="preserve">Recurring Donation — automated charge engine</t>
        </is>
      </c>
      <c r="E170" t="inlineStr">
        <is>
          <t xml:space="preserve">Recurring charge engine limited to single gateway: The only automated recurring-charge job (ProcessDuePayUChargesAsync) is scoped exclusively to PAYU gateway schedules; PaymentMethodToken's ExpiryMonth/ExpiryYear/TokenExpiresAt/FailureCount fields exist on the entity/schema but are never r…</t>
        </is>
      </c>
      <c r="F170" t="inlineStr">
        <is>
          <t xml:space="preserve">Fix</t>
        </is>
      </c>
      <c r="G170" t="inlineStr">
        <is>
          <t xml:space="preserve">High</t>
        </is>
      </c>
      <c r="H170" t="inlineStr">
        <is>
          <t xml:space="preserve">Built – audit finding</t>
        </is>
      </c>
      <c r="I170">
        <v>2.5</v>
      </c>
      <c r="J170">
        <v>1.25</v>
      </c>
      <c r="K170">
        <v>3.75</v>
      </c>
      <c r="L170" t="inlineStr">
        <is>
          <t xml:space="preserve">Backlog ref #144 · verdict CONFIRMED</t>
        </is>
      </c>
    </row>
    <row r="171">
      <c r="A171">
        <v>160</v>
      </c>
      <c r="B171" t="inlineStr">
        <is>
          <t xml:space="preserve">Code Audit</t>
        </is>
      </c>
      <c r="C171" t="inlineStr">
        <is>
          <t xml:space="preserve">Fundraising · Donations &amp; Receipts</t>
        </is>
      </c>
      <c r="D171" t="inlineStr">
        <is>
          <t xml:space="preserve">Refund (Screen #13) — approval control</t>
        </is>
      </c>
      <c r="E171" t="inlineStr">
        <is>
          <t xml:space="preserve">Refund approval workflow bypass: CreateRefund.cs sets RefundStatusId directly to REF (complete) in the same call that creates the record, guarded only by [CustomAuthorize(..., Permissions.Create)]; ApproveRefund.cs/RejectRefund.cs/ProcessRefund.cs remain in the codebase b…</t>
        </is>
      </c>
      <c r="F171" t="inlineStr">
        <is>
          <t xml:space="preserve">Fix – Security</t>
        </is>
      </c>
      <c r="G171" t="inlineStr">
        <is>
          <t xml:space="preserve">High</t>
        </is>
      </c>
      <c r="H171" t="inlineStr">
        <is>
          <t xml:space="preserve">Built – audit finding</t>
        </is>
      </c>
      <c r="I171">
        <v>3.0</v>
      </c>
      <c r="J171">
        <v>1.5</v>
      </c>
      <c r="K171">
        <v>4.5</v>
      </c>
      <c r="L171" t="inlineStr">
        <is>
          <t xml:space="preserve">Backlog ref #145 · verdict ADJUSTED</t>
        </is>
      </c>
    </row>
    <row r="172">
      <c r="A172">
        <v>161</v>
      </c>
      <c r="B172" t="inlineStr">
        <is>
          <t xml:space="preserve">Code Audit</t>
        </is>
      </c>
      <c r="C172" t="inlineStr">
        <is>
          <t xml:space="preserve">Fundraising · Donations &amp; Receipts</t>
        </is>
      </c>
      <c r="D172" t="inlineStr">
        <is>
          <t xml:space="preserve">Refund (Screen #13) — Create Refund (partial refund)</t>
        </is>
      </c>
      <c r="E172" t="inlineStr">
        <is>
          <t xml:space="preserve">Single-refund-per-donation constraint: Refund.cs and the RefundConfiguration EF mapping enforce, via both a validator check and a filtered unique DB index (IX_Refunds_GlobalDonationId_Active WHERE IsDeleted=false, IsUnique), that at most ONE non-deleted Refund row can ever exis…</t>
        </is>
      </c>
      <c r="F172" t="inlineStr">
        <is>
          <t xml:space="preserve">Fix – Business Logic</t>
        </is>
      </c>
      <c r="G172" t="inlineStr">
        <is>
          <t xml:space="preserve">High</t>
        </is>
      </c>
      <c r="H172" t="inlineStr">
        <is>
          <t xml:space="preserve">Built – audit finding</t>
        </is>
      </c>
      <c r="I172">
        <v>3.0</v>
      </c>
      <c r="J172">
        <v>1.5</v>
      </c>
      <c r="K172">
        <v>4.5</v>
      </c>
      <c r="L172" t="inlineStr">
        <is>
          <t xml:space="preserve">Backlog ref #146 · verdict CONFIRMED</t>
        </is>
      </c>
    </row>
    <row r="173">
      <c r="A173">
        <v>162</v>
      </c>
      <c r="B173" t="inlineStr">
        <is>
          <t xml:space="preserve">Code Audit</t>
        </is>
      </c>
      <c r="C173" t="inlineStr">
        <is>
          <t xml:space="preserve">Fundraising · Donations &amp; Receipts</t>
        </is>
      </c>
      <c r="D173" t="inlineStr">
        <is>
          <t xml:space="preserve">Refund (Screen #13) — Receipt handling on refund</t>
        </is>
      </c>
      <c r="E173" t="inlineStr">
        <is>
          <t xml:space="preserve">Receipt handling on refund: CompleteRefund.cs computes and stores ReceiptStatusAfterRefundId (UNCHANGED/CANCELLED/REVISED) as an informational marker on the Refund row only; the actual GlobalReceiptDonation record/PDF is never voided, regenerated, or gated from downl…</t>
        </is>
      </c>
      <c r="F173" t="inlineStr">
        <is>
          <t xml:space="preserve">Fix – Business Logic</t>
        </is>
      </c>
      <c r="G173" t="inlineStr">
        <is>
          <t xml:space="preserve">High</t>
        </is>
      </c>
      <c r="H173" t="inlineStr">
        <is>
          <t xml:space="preserve">Built – audit finding</t>
        </is>
      </c>
      <c r="I173">
        <v>3.0</v>
      </c>
      <c r="J173">
        <v>1.5</v>
      </c>
      <c r="K173">
        <v>4.5</v>
      </c>
      <c r="L173" t="inlineStr">
        <is>
          <t xml:space="preserve">Backlog ref #147 · verdict CONFIRMED</t>
        </is>
      </c>
    </row>
    <row r="174">
      <c r="A174">
        <v>163</v>
      </c>
      <c r="B174" t="inlineStr">
        <is>
          <t xml:space="preserve">Code Audit</t>
        </is>
      </c>
      <c r="C174" t="inlineStr">
        <is>
          <t xml:space="preserve">Grants</t>
        </is>
      </c>
      <c r="D174" t="inlineStr">
        <is>
          <t xml:space="preserve">Grant Delete (DeleteGrant)</t>
        </is>
      </c>
      <c r="E174" t="inlineStr">
        <is>
          <t xml:space="preserve">Grant delete cascade &amp; guard: DeleteGrantHandler (DeleteGrant.cs) only sets Grant.IsDeleted=true. It never cascades soft-delete to GrantExpenses, GrantFundReceipts, GrantBudgetLines, GrantAttachments, GrantMilestones or GrantCommunications, and never checks whether the…</t>
        </is>
      </c>
      <c r="F174" t="inlineStr">
        <is>
          <t xml:space="preserve">Fix – Data Integrity</t>
        </is>
      </c>
      <c r="G174" t="inlineStr">
        <is>
          <t xml:space="preserve">High</t>
        </is>
      </c>
      <c r="H174" t="inlineStr">
        <is>
          <t xml:space="preserve">Built – audit finding</t>
        </is>
      </c>
      <c r="I174">
        <v>3.0</v>
      </c>
      <c r="J174">
        <v>1.5</v>
      </c>
      <c r="K174">
        <v>4.5</v>
      </c>
      <c r="L174" t="inlineStr">
        <is>
          <t xml:space="preserve">Backlog ref #148 · verdict CONFIRMED</t>
        </is>
      </c>
    </row>
    <row r="175">
      <c r="A175">
        <v>164</v>
      </c>
      <c r="B175" t="inlineStr">
        <is>
          <t xml:space="preserve">Code Audit</t>
        </is>
      </c>
      <c r="C175" t="inlineStr">
        <is>
          <t xml:space="preserve">Grants</t>
        </is>
      </c>
      <c r="D175" t="inlineStr">
        <is>
          <t xml:space="preserve">Grant Fund Receipt — Void (VoidGrantFundReceipt)</t>
        </is>
      </c>
      <c r="E175" t="inlineStr">
        <is>
          <t xml:space="preserve">Grant fund receipt void re-validation: VoidGrantFundReceiptHandler (VoidGrantFundReceipt.cs) flips a receipt's status straight to CANCELLED with zero downstream checks. CreateGrantExpense and AllocateGrantToFundingSource both compute 'cash available' as a live SUM over non-canc…</t>
        </is>
      </c>
      <c r="F175" t="inlineStr">
        <is>
          <t xml:space="preserve">Fix – Business Logic</t>
        </is>
      </c>
      <c r="G175" t="inlineStr">
        <is>
          <t xml:space="preserve">High</t>
        </is>
      </c>
      <c r="H175" t="inlineStr">
        <is>
          <t xml:space="preserve">Built – audit finding</t>
        </is>
      </c>
      <c r="I175">
        <v>3.0</v>
      </c>
      <c r="J175">
        <v>1.5</v>
      </c>
      <c r="K175">
        <v>4.5</v>
      </c>
      <c r="L175" t="inlineStr">
        <is>
          <t xml:space="preserve">Backlog ref #149 · verdict CONFIRMED</t>
        </is>
      </c>
    </row>
    <row r="176">
      <c r="A176">
        <v>165</v>
      </c>
      <c r="B176" t="inlineStr">
        <is>
          <t xml:space="preserve">Code Audit</t>
        </is>
      </c>
      <c r="C176" t="inlineStr">
        <is>
          <t xml:space="preserve">Grants</t>
        </is>
      </c>
      <c r="D176" t="inlineStr">
        <is>
          <t xml:space="preserve">Grant Lifecycle — Generic Stage Mover (UpdateGrantStage)</t>
        </is>
      </c>
      <c r="E176" t="inlineStr">
        <is>
          <t xml:space="preserve">Grant approval bypass via generic stage mover: UpdateGrantStageHandler (Base.Application/Business/GrantBusiness/Grants/UpdateCommand/UpdateGrantStage.cs) allows a direct UNDERREVIEW→APPROVED transition (permitted by GrantStageHelper.AllowedTransitions) through a generic mutation that o…</t>
        </is>
      </c>
      <c r="F176" t="inlineStr">
        <is>
          <t xml:space="preserve">Fix – Business Logic</t>
        </is>
      </c>
      <c r="G176" t="inlineStr">
        <is>
          <t xml:space="preserve">High</t>
        </is>
      </c>
      <c r="H176" t="inlineStr">
        <is>
          <t xml:space="preserve">Built – audit finding</t>
        </is>
      </c>
      <c r="I176">
        <v>3.0</v>
      </c>
      <c r="J176">
        <v>1.5</v>
      </c>
      <c r="K176">
        <v>4.5</v>
      </c>
      <c r="L176" t="inlineStr">
        <is>
          <t xml:space="preserve">Backlog ref #150 · verdict CONFIRMED</t>
        </is>
      </c>
    </row>
    <row r="177">
      <c r="A177">
        <v>166</v>
      </c>
      <c r="B177" t="inlineStr">
        <is>
          <t xml:space="preserve">Code Audit</t>
        </is>
      </c>
      <c r="C177" t="inlineStr">
        <is>
          <t xml:space="preserve">Multi-Tenancy Isolation</t>
        </is>
      </c>
      <c r="D177" t="inlineStr">
        <is>
          <t xml:space="preserve">P2PCampaignPage public page (Screen #170)</t>
        </is>
      </c>
      <c r="E177" t="inlineStr">
        <is>
          <t xml:space="preserve">Recent donors public widget: Confirmed exactly as reported. Since Slug uniqueness is per-(CompanyId, Slug), a campaign page slug on a non-first-active tenant (or any request lacking a recognizable hostname) will have this widget resolve donors from the wrong company's…</t>
        </is>
      </c>
      <c r="F177" t="inlineStr">
        <is>
          <t xml:space="preserve">Fix</t>
        </is>
      </c>
      <c r="G177" t="inlineStr">
        <is>
          <t xml:space="preserve">High</t>
        </is>
      </c>
      <c r="H177" t="inlineStr">
        <is>
          <t xml:space="preserve">Built – audit finding</t>
        </is>
      </c>
      <c r="I177">
        <v>2.5</v>
      </c>
      <c r="J177">
        <v>1.25</v>
      </c>
      <c r="K177">
        <v>3.75</v>
      </c>
      <c r="L177" t="inlineStr">
        <is>
          <t xml:space="preserve">Backlog ref #151 · verdict CONFIRMED</t>
        </is>
      </c>
    </row>
    <row r="178">
      <c r="A178">
        <v>167</v>
      </c>
      <c r="B178" t="inlineStr">
        <is>
          <t xml:space="preserve">Code Audit</t>
        </is>
      </c>
      <c r="C178" t="inlineStr">
        <is>
          <t xml:space="preserve">Multi-Tenancy Isolation</t>
        </is>
      </c>
      <c r="D178" t="inlineStr">
        <is>
          <t xml:space="preserve">P2PCampaignPage public page (Screen #170)</t>
        </is>
      </c>
      <c r="E178" t="inlineStr">
        <is>
          <t xml:space="preserve">Public leaderboard widget: Confirmed — same class of bug as the Recent Donors widget: leaderboard rankings (fundraiser names + amounts raised) can be sourced from the wrong tenant's campaign when the resolved 'first active company' doesn't match the tenant actually…</t>
        </is>
      </c>
      <c r="F178" t="inlineStr">
        <is>
          <t xml:space="preserve">Fix</t>
        </is>
      </c>
      <c r="G178" t="inlineStr">
        <is>
          <t xml:space="preserve">High</t>
        </is>
      </c>
      <c r="H178" t="inlineStr">
        <is>
          <t xml:space="preserve">Built – audit finding</t>
        </is>
      </c>
      <c r="I178">
        <v>2.5</v>
      </c>
      <c r="J178">
        <v>1.25</v>
      </c>
      <c r="K178">
        <v>3.75</v>
      </c>
      <c r="L178" t="inlineStr">
        <is>
          <t xml:space="preserve">Backlog ref #152 · verdict CONFIRMED</t>
        </is>
      </c>
    </row>
    <row r="179">
      <c r="A179">
        <v>168</v>
      </c>
      <c r="B179" t="inlineStr">
        <is>
          <t xml:space="preserve">Code Audit</t>
        </is>
      </c>
      <c r="C179" t="inlineStr">
        <is>
          <t xml:space="preserve">Multi-Tenancy Isolation</t>
        </is>
      </c>
      <c r="D179" t="inlineStr">
        <is>
          <t xml:space="preserve">PrayerRequestPage / PrayerWall (Screen #171 public page — 'I'll Pray for This')</t>
        </is>
      </c>
      <c r="E179" t="inlineStr">
        <is>
          <t xml:space="preserve">PrayForThis anonymous public mutation: Confirmed. For an unauthenticated caller, TenantContext.GetCurrentTenantId() (Base.Application/Services/TenantContext/TenantContext.cs:22-36) returns null because GetCurrentUserStaffCompanyId() yields 0 with no JWT claims present, and `com…</t>
        </is>
      </c>
      <c r="F179" t="inlineStr">
        <is>
          <t xml:space="preserve">Fix</t>
        </is>
      </c>
      <c r="G179" t="inlineStr">
        <is>
          <t xml:space="preserve">High</t>
        </is>
      </c>
      <c r="H179" t="inlineStr">
        <is>
          <t xml:space="preserve">Built – audit finding</t>
        </is>
      </c>
      <c r="I179">
        <v>2.5</v>
      </c>
      <c r="J179">
        <v>1.25</v>
      </c>
      <c r="K179">
        <v>3.75</v>
      </c>
      <c r="L179" t="inlineStr">
        <is>
          <t xml:space="preserve">Backlog ref #153 · verdict CONFIRMED</t>
        </is>
      </c>
    </row>
    <row r="180">
      <c r="A180">
        <v>169</v>
      </c>
      <c r="B180" t="inlineStr">
        <is>
          <t xml:space="preserve">Code Audit</t>
        </is>
      </c>
      <c r="C180" t="inlineStr">
        <is>
          <t xml:space="preserve">Multi-Tenancy Isolation</t>
        </is>
      </c>
      <c r="D180" t="inlineStr">
        <is>
          <t xml:space="preserve">PrayerRequestPage public page (Screen #171)</t>
        </is>
      </c>
      <c r="E180" t="inlineStr">
        <is>
          <t xml:space="preserve">Public GetBySlug tenant resolution: Confirmed exactly as reported — same class of bug as GetVolunteerRegistrationPageBySlug.cs. Production traffic for this public page resolves to whichever company is 'first active' rather than the tenant the visitor's hostname maps to.</t>
        </is>
      </c>
      <c r="F180" t="inlineStr">
        <is>
          <t xml:space="preserve">Fix</t>
        </is>
      </c>
      <c r="G180" t="inlineStr">
        <is>
          <t xml:space="preserve">High</t>
        </is>
      </c>
      <c r="H180" t="inlineStr">
        <is>
          <t xml:space="preserve">Built – audit finding</t>
        </is>
      </c>
      <c r="I180">
        <v>2.5</v>
      </c>
      <c r="J180">
        <v>1.25</v>
      </c>
      <c r="K180">
        <v>3.75</v>
      </c>
      <c r="L180" t="inlineStr">
        <is>
          <t xml:space="preserve">Backlog ref #154 · verdict CONFIRMED</t>
        </is>
      </c>
    </row>
    <row r="181">
      <c r="A181">
        <v>170</v>
      </c>
      <c r="B181" t="inlineStr">
        <is>
          <t xml:space="preserve">Code Audit</t>
        </is>
      </c>
      <c r="C181" t="inlineStr">
        <is>
          <t xml:space="preserve">Multi-Tenancy Isolation</t>
        </is>
      </c>
      <c r="D181" t="inlineStr">
        <is>
          <t xml:space="preserve">PrayerWall public page (Screen #171 area)</t>
        </is>
      </c>
      <c r="E181" t="inlineStr">
        <is>
          <t xml:space="preserve">Public GetPrayerWallBySlug tenant resolution: Confirmed exactly as reported — the prayer wall listing (surfacing individual prayer requests, some containing personal disclosures) can resolve to the wrong tenant's data in production traffic that doesn't carry a recognizable hostname/su…</t>
        </is>
      </c>
      <c r="F181" t="inlineStr">
        <is>
          <t xml:space="preserve">Fix</t>
        </is>
      </c>
      <c r="G181" t="inlineStr">
        <is>
          <t xml:space="preserve">High</t>
        </is>
      </c>
      <c r="H181" t="inlineStr">
        <is>
          <t xml:space="preserve">Built – audit finding</t>
        </is>
      </c>
      <c r="I181">
        <v>2.5</v>
      </c>
      <c r="J181">
        <v>1.25</v>
      </c>
      <c r="K181">
        <v>3.75</v>
      </c>
      <c r="L181" t="inlineStr">
        <is>
          <t xml:space="preserve">Backlog ref #155 · verdict CONFIRMED</t>
        </is>
      </c>
    </row>
    <row r="182">
      <c r="A182">
        <v>171</v>
      </c>
      <c r="B182" t="inlineStr">
        <is>
          <t xml:space="preserve">Code Audit</t>
        </is>
      </c>
      <c r="C182" t="inlineStr">
        <is>
          <t xml:space="preserve">Organization · Events &amp; Staff</t>
        </is>
      </c>
      <c r="D182" t="inlineStr">
        <is>
          <t xml:space="preserve">Auction Management</t>
        </is>
      </c>
      <c r="E182" t="inlineStr">
        <is>
          <t xml:space="preserve">Commission/buyer's-premium, public bidding flow, finance/tax-receipt linkage, award-vs-bid validation: No commission/buyer's-premium field exists on won items; there is no real public/anonymous bidding channel (confirmed by the handler's own docstring); AwardAuctionItem can record a winning amount disconnected from the actual highest bid; a…</t>
        </is>
      </c>
      <c r="F182" t="inlineStr">
        <is>
          <t xml:space="preserve">Fix – Business Logic</t>
        </is>
      </c>
      <c r="G182" t="inlineStr">
        <is>
          <t xml:space="preserve">High</t>
        </is>
      </c>
      <c r="H182" t="inlineStr">
        <is>
          <t xml:space="preserve">Built – audit finding</t>
        </is>
      </c>
      <c r="I182">
        <v>3.0</v>
      </c>
      <c r="J182">
        <v>1.5</v>
      </c>
      <c r="K182">
        <v>4.5</v>
      </c>
      <c r="L182" t="inlineStr">
        <is>
          <t xml:space="preserve">Backlog ref #156 · verdict CONFIRMED</t>
        </is>
      </c>
    </row>
    <row r="183">
      <c r="A183">
        <v>172</v>
      </c>
      <c r="B183" t="inlineStr">
        <is>
          <t xml:space="preserve">Code Audit</t>
        </is>
      </c>
      <c r="C183" t="inlineStr">
        <is>
          <t xml:space="preserve">Organization · Events &amp; Staff</t>
        </is>
      </c>
      <c r="D183" t="inlineStr">
        <is>
          <t xml:space="preserve">Organization · Organizational Unit — Delete</t>
        </is>
      </c>
      <c r="E183" t="inlineStr">
        <is>
          <t xml:space="preserve">Delete guard dependent-record counts: The delete guard can never actually block a delete due to dependent staff, contacts, or donations — it only ever blocks on child organizational units, regardless of how many staff/contacts/donations are actually linked to the unit.</t>
        </is>
      </c>
      <c r="F183" t="inlineStr">
        <is>
          <t xml:space="preserve">Fix – Data Integrity</t>
        </is>
      </c>
      <c r="G183" t="inlineStr">
        <is>
          <t xml:space="preserve">High</t>
        </is>
      </c>
      <c r="H183" t="inlineStr">
        <is>
          <t xml:space="preserve">Built – audit finding</t>
        </is>
      </c>
      <c r="I183">
        <v>3.0</v>
      </c>
      <c r="J183">
        <v>1.5</v>
      </c>
      <c r="K183">
        <v>4.5</v>
      </c>
      <c r="L183" t="inlineStr">
        <is>
          <t xml:space="preserve">Backlog ref #157 · verdict ADJUSTED</t>
        </is>
      </c>
    </row>
    <row r="184">
      <c r="A184">
        <v>173</v>
      </c>
      <c r="B184" t="inlineStr">
        <is>
          <t xml:space="preserve">Code Audit</t>
        </is>
      </c>
      <c r="C184" t="inlineStr">
        <is>
          <t xml:space="preserve">Payments &amp; Reconciliation</t>
        </is>
      </c>
      <c r="D184" t="inlineStr">
        <is>
          <t xml:space="preserve">Braintree Webhook Controller</t>
        </is>
      </c>
      <c r="E184" t="inlineStr">
        <is>
          <t xml:space="preserve">Braintree webhook dev-only bypass: The endpoint's own code comment at :257-263 explicitly acknowledges it can forge subscription charge-success/failure/cancel/past-due transitions. The sole guard is `if (!_env.IsDevelopment()) return NotFound();` at :264-268 — a single runt…</t>
        </is>
      </c>
      <c r="F184" t="inlineStr">
        <is>
          <t xml:space="preserve">Fix – Security</t>
        </is>
      </c>
      <c r="G184" t="inlineStr">
        <is>
          <t xml:space="preserve">High</t>
        </is>
      </c>
      <c r="H184" t="inlineStr">
        <is>
          <t xml:space="preserve">Built – audit finding</t>
        </is>
      </c>
      <c r="I184">
        <v>3.0</v>
      </c>
      <c r="J184">
        <v>1.5</v>
      </c>
      <c r="K184">
        <v>4.5</v>
      </c>
      <c r="L184" t="inlineStr">
        <is>
          <t xml:space="preserve">Backlog ref #158 · verdict CONFIRMED</t>
        </is>
      </c>
    </row>
    <row r="185">
      <c r="A185">
        <v>174</v>
      </c>
      <c r="B185" t="inlineStr">
        <is>
          <t xml:space="preserve">Code Audit</t>
        </is>
      </c>
      <c r="C185" t="inlineStr">
        <is>
          <t xml:space="preserve">Payments &amp; Reconciliation</t>
        </is>
      </c>
      <c r="D185" t="inlineStr">
        <is>
          <t xml:space="preserve">Online Donation Confirm — ConfirmOnlineDonationHandler</t>
        </is>
      </c>
      <c r="E185" t="inlineStr">
        <is>
          <t xml:space="preserve">Donation confirm race condition (no concurrency control): Project-wide grep across Base.Infrastructure for IsRowVersion/ConcurrencyToken/xmin/RowVersion returned zero matches — no optimistic concurrency token or pessimistic locking exists anywhere in this data layer. The staging row is read in a…</t>
        </is>
      </c>
      <c r="F185" t="inlineStr">
        <is>
          <t xml:space="preserve">Fix</t>
        </is>
      </c>
      <c r="G185" t="inlineStr">
        <is>
          <t xml:space="preserve">High</t>
        </is>
      </c>
      <c r="H185" t="inlineStr">
        <is>
          <t xml:space="preserve">Built – audit finding</t>
        </is>
      </c>
      <c r="I185">
        <v>2.5</v>
      </c>
      <c r="J185">
        <v>1.25</v>
      </c>
      <c r="K185">
        <v>3.75</v>
      </c>
      <c r="L185" t="inlineStr">
        <is>
          <t xml:space="preserve">Backlog ref #159 · verdict CONFIRMED</t>
        </is>
      </c>
    </row>
    <row r="186">
      <c r="A186">
        <v>175</v>
      </c>
      <c r="B186" t="inlineStr">
        <is>
          <t xml:space="preserve">Code Audit</t>
        </is>
      </c>
      <c r="C186" t="inlineStr">
        <is>
          <t xml:space="preserve">Payments &amp; Reconciliation</t>
        </is>
      </c>
      <c r="D186" t="inlineStr">
        <is>
          <t xml:space="preserve">Online Donation Confirm — Recurring donation setup (Razorpay &amp; PayU)</t>
        </is>
      </c>
      <c r="E186" t="inlineStr">
        <is>
          <t xml:space="preserve">Recurring donation setup missing transaction wrapping: Grep of the entire file for CreateExecutionStrategy/BeginTransactionAsync returned zero matches — none of these SaveChangesAsync calls are wrapped in an EF transaction or execution strategy, unlike CreateRefund.cs:385-409 which properly us…</t>
        </is>
      </c>
      <c r="F186" t="inlineStr">
        <is>
          <t xml:space="preserve">Fix – Data Integrity</t>
        </is>
      </c>
      <c r="G186" t="inlineStr">
        <is>
          <t xml:space="preserve">High</t>
        </is>
      </c>
      <c r="H186" t="inlineStr">
        <is>
          <t xml:space="preserve">Built – audit finding</t>
        </is>
      </c>
      <c r="I186">
        <v>3.0</v>
      </c>
      <c r="J186">
        <v>1.5</v>
      </c>
      <c r="K186">
        <v>4.5</v>
      </c>
      <c r="L186" t="inlineStr">
        <is>
          <t xml:space="preserve">Backlog ref #160 · verdict CONFIRMED</t>
        </is>
      </c>
    </row>
    <row r="187">
      <c r="A187">
        <v>176</v>
      </c>
      <c r="B187" t="inlineStr">
        <is>
          <t xml:space="preserve">Code Audit</t>
        </is>
      </c>
      <c r="C187" t="inlineStr">
        <is>
          <t xml:space="preserve">Payments &amp; Reconciliation</t>
        </is>
      </c>
      <c r="D187" t="inlineStr">
        <is>
          <t xml:space="preserve">Webhook Processing — Best-effort donation promotion</t>
        </is>
      </c>
      <c r="E187" t="inlineStr">
        <is>
          <t xml:space="preserve">Webhook promotion failures leave no durable trace: The Inbox's AWAITING/UnresolvedCount buckets (GetOnlineDonationStagingList.cs:105-110, GetOnlineDonationInboxSummary.cs:85) are keyed off `ResolvedContactId == null`, NOT off `PromotedGlobalDonationId == null` — so a staging row where Reso…</t>
        </is>
      </c>
      <c r="F187" t="inlineStr">
        <is>
          <t xml:space="preserve">Ops/Config</t>
        </is>
      </c>
      <c r="G187" t="inlineStr">
        <is>
          <t xml:space="preserve">High</t>
        </is>
      </c>
      <c r="H187" t="inlineStr">
        <is>
          <t xml:space="preserve">Built – audit finding</t>
        </is>
      </c>
      <c r="I187">
        <v>3.0</v>
      </c>
      <c r="J187">
        <v>1.5</v>
      </c>
      <c r="K187">
        <v>4.5</v>
      </c>
      <c r="L187" t="inlineStr">
        <is>
          <t xml:space="preserve">Backlog ref #161 · verdict ADJUSTED</t>
        </is>
      </c>
    </row>
    <row r="188">
      <c r="A188">
        <v>177</v>
      </c>
      <c r="B188" t="inlineStr">
        <is>
          <t xml:space="preserve">Code Audit</t>
        </is>
      </c>
      <c r="C188" t="inlineStr">
        <is>
          <t xml:space="preserve">Performance &amp; Scalability</t>
        </is>
      </c>
      <c r="D188" t="inlineStr">
        <is>
          <t xml:space="preserve">Membership Renewals (Export), Email Analytics (Export Recipient Activity)</t>
        </is>
      </c>
      <c r="E188" t="inlineStr">
        <is>
          <t xml:space="preserve">CSV export handlers: Neither export handler caps exported rows or offloads to a background job; both build the full CSV + base64 payload synchronously in the request thread.</t>
        </is>
      </c>
      <c r="F188" t="inlineStr">
        <is>
          <t xml:space="preserve">Fix – Performance</t>
        </is>
      </c>
      <c r="G188" t="inlineStr">
        <is>
          <t xml:space="preserve">High</t>
        </is>
      </c>
      <c r="H188" t="inlineStr">
        <is>
          <t xml:space="preserve">Built – audit finding</t>
        </is>
      </c>
      <c r="I188">
        <v>3.0</v>
      </c>
      <c r="J188">
        <v>1.5</v>
      </c>
      <c r="K188">
        <v>4.5</v>
      </c>
      <c r="L188" t="inlineStr">
        <is>
          <t xml:space="preserve">Backlog ref #162 · verdict CONFIRMED</t>
        </is>
      </c>
    </row>
    <row r="189">
      <c r="A189">
        <v>178</v>
      </c>
      <c r="B189" t="inlineStr">
        <is>
          <t xml:space="preserve">Code Audit</t>
        </is>
      </c>
      <c r="C189" t="inlineStr">
        <is>
          <t xml:space="preserve">Prayer · Certificate · General Masters</t>
        </is>
      </c>
      <c r="D189" t="inlineStr">
        <is>
          <t xml:space="preserve">Certificate Management — Process/Print tab</t>
        </is>
      </c>
      <c r="E189" t="inlineStr">
        <is>
          <t xml:space="preserve">Print action produces no reachable output for the user: Clicking "Print" flips PrintedById/PrintedAt server-side and shows a success toast, but no PDF is ever opened/downloaded by the browser — the FE silently discards the (unusable, server-local-path) pdfFilePath value it does receive. The but…</t>
        </is>
      </c>
      <c r="F189" t="inlineStr">
        <is>
          <t xml:space="preserve">Fix</t>
        </is>
      </c>
      <c r="G189" t="inlineStr">
        <is>
          <t xml:space="preserve">High</t>
        </is>
      </c>
      <c r="H189" t="inlineStr">
        <is>
          <t xml:space="preserve">Built – audit finding</t>
        </is>
      </c>
      <c r="I189">
        <v>2.5</v>
      </c>
      <c r="J189">
        <v>1.25</v>
      </c>
      <c r="K189">
        <v>3.75</v>
      </c>
      <c r="L189" t="inlineStr">
        <is>
          <t xml:space="preserve">Backlog ref #163 · verdict ADJUSTED</t>
        </is>
      </c>
    </row>
    <row r="190">
      <c r="A190">
        <v>179</v>
      </c>
      <c r="B190" t="inlineStr">
        <is>
          <t xml:space="preserve">Code Audit</t>
        </is>
      </c>
      <c r="C190" t="inlineStr">
        <is>
          <t xml:space="preserve">Prayer · Certificate · General Masters</t>
        </is>
      </c>
      <c r="D190" t="inlineStr">
        <is>
          <t xml:space="preserve">Certificate Management — Process/Print tab</t>
        </is>
      </c>
      <c r="E190" t="inlineStr">
        <is>
          <t xml:space="preserve">ContactCertificate Create — mass-assignment / tenant-injection risk: A client calling the CreateContactCertificate GraphQL mutation directly can submit an explicit non-zero CompanyId for a different tenant, or pre-set ApprovedById/ApprovedAt/PrintedById/PrintedAt to fabricate an already-approved/printed cer…</t>
        </is>
      </c>
      <c r="F190" t="inlineStr">
        <is>
          <t xml:space="preserve">Fix – Security</t>
        </is>
      </c>
      <c r="G190" t="inlineStr">
        <is>
          <t xml:space="preserve">High</t>
        </is>
      </c>
      <c r="H190" t="inlineStr">
        <is>
          <t xml:space="preserve">Built – audit finding</t>
        </is>
      </c>
      <c r="I190">
        <v>3.0</v>
      </c>
      <c r="J190">
        <v>1.5</v>
      </c>
      <c r="K190">
        <v>4.5</v>
      </c>
      <c r="L190" t="inlineStr">
        <is>
          <t xml:space="preserve">Backlog ref #164 · verdict CONFIRMED</t>
        </is>
      </c>
    </row>
    <row r="191">
      <c r="A191">
        <v>180</v>
      </c>
      <c r="B191" t="inlineStr">
        <is>
          <t xml:space="preserve">Code Audit</t>
        </is>
      </c>
      <c r="C191" t="inlineStr">
        <is>
          <t xml:space="preserve">Prayer · Certificate · General Masters</t>
        </is>
      </c>
      <c r="D191" t="inlineStr">
        <is>
          <t xml:space="preserve">General Masters — Bank/Blood Group/Gender/Language/Occupation/Payment Mode/Rela…</t>
        </is>
      </c>
      <c r="E191" t="inlineStr">
        <is>
          <t xml:space="preserve">Delete command missing referential-integrity guard: Deleting any of these 20 other master-data types that is still referenced by Contact/Donation/other records silently soft-deletes the master row while leaving orphaned FK references pointing at a now-inactive master value, with no warning…</t>
        </is>
      </c>
      <c r="F191" t="inlineStr">
        <is>
          <t xml:space="preserve">Fix – Data Integrity</t>
        </is>
      </c>
      <c r="G191" t="inlineStr">
        <is>
          <t xml:space="preserve">High</t>
        </is>
      </c>
      <c r="H191" t="inlineStr">
        <is>
          <t xml:space="preserve">Built – audit finding</t>
        </is>
      </c>
      <c r="I191">
        <v>3.0</v>
      </c>
      <c r="J191">
        <v>1.5</v>
      </c>
      <c r="K191">
        <v>4.5</v>
      </c>
      <c r="L191" t="inlineStr">
        <is>
          <t xml:space="preserve">Backlog ref #165 · verdict CONFIRMED</t>
        </is>
      </c>
    </row>
    <row r="192">
      <c r="A192">
        <v>181</v>
      </c>
      <c r="B192" t="inlineStr">
        <is>
          <t xml:space="preserve">Code Audit</t>
        </is>
      </c>
      <c r="C192" t="inlineStr">
        <is>
          <t xml:space="preserve">QA &amp; Testing Gaps</t>
        </is>
      </c>
      <c r="D192" t="inlineStr">
        <is>
          <t xml:space="preserve">All entities (Grant, Case, Donation, Pledge, Refund, etc.)</t>
        </is>
      </c>
      <c r="E192" t="inlineStr">
        <is>
          <t xml:space="preserve">Concurrent-edit / optimistic-concurrency testing: No entity has an EF concurrency token configured, so concurrent edits silently last-write-win with no conflict detection, and no test exists (because there's no mechanism to test).</t>
        </is>
      </c>
      <c r="F192" t="inlineStr">
        <is>
          <t xml:space="preserve">Fix – Data Integrity</t>
        </is>
      </c>
      <c r="G192" t="inlineStr">
        <is>
          <t xml:space="preserve">High</t>
        </is>
      </c>
      <c r="H192" t="inlineStr">
        <is>
          <t xml:space="preserve">Built – audit finding</t>
        </is>
      </c>
      <c r="I192">
        <v>3.0</v>
      </c>
      <c r="J192">
        <v>1.5</v>
      </c>
      <c r="K192">
        <v>4.5</v>
      </c>
      <c r="L192" t="inlineStr">
        <is>
          <t xml:space="preserve">Backlog ref #166 · verdict CONFIRMED</t>
        </is>
      </c>
    </row>
    <row r="193">
      <c r="A193">
        <v>182</v>
      </c>
      <c r="B193" t="inlineStr">
        <is>
          <t xml:space="preserve">Code Audit</t>
        </is>
      </c>
      <c r="C193" t="inlineStr">
        <is>
          <t xml:space="preserve">QA &amp; Testing Gaps</t>
        </is>
      </c>
      <c r="D193" t="inlineStr">
        <is>
          <t xml:space="preserve">All screens using role-based capability (BUSINESSADMIN vs restricted roles)</t>
        </is>
      </c>
      <c r="E193" t="inlineStr">
        <is>
          <t xml:space="preserve">RBAC / permission-denial tests: No E2E or BE test exercises a non-BUSINESSADMIN role or verifies a 403/permission-denied path on any mutation.</t>
        </is>
      </c>
      <c r="F193" t="inlineStr">
        <is>
          <t xml:space="preserve">Fix – Security</t>
        </is>
      </c>
      <c r="G193" t="inlineStr">
        <is>
          <t xml:space="preserve">High</t>
        </is>
      </c>
      <c r="H193" t="inlineStr">
        <is>
          <t xml:space="preserve">Built – audit finding</t>
        </is>
      </c>
      <c r="I193">
        <v>3.0</v>
      </c>
      <c r="J193">
        <v>1.5</v>
      </c>
      <c r="K193">
        <v>4.5</v>
      </c>
      <c r="L193" t="inlineStr">
        <is>
          <t xml:space="preserve">Backlog ref #167 · verdict ADJUSTED</t>
        </is>
      </c>
    </row>
    <row r="194">
      <c r="A194">
        <v>183</v>
      </c>
      <c r="B194" t="inlineStr">
        <is>
          <t xml:space="preserve">Code Audit</t>
        </is>
      </c>
      <c r="C194" t="inlineStr">
        <is>
          <t xml:space="preserve">QA &amp; Testing Gaps</t>
        </is>
      </c>
      <c r="D194" t="inlineStr">
        <is>
          <t xml:space="preserve">Background jobs (OpenExchangeRatesSyncJob, AuditQueueDrainer)</t>
        </is>
      </c>
      <c r="E194" t="inlineStr">
        <is>
          <t xml:space="preserve">Background-job test coverage: The FX-sync job and audit-queue drainer have zero test coverage for sync/parse logic, error handling, or idempotency; the broader Hangfire-based recurring-job surface (imports, email sends) is equally untested since no BE test project exis…</t>
        </is>
      </c>
      <c r="F194" t="inlineStr">
        <is>
          <t xml:space="preserve">Testing</t>
        </is>
      </c>
      <c r="G194" t="inlineStr">
        <is>
          <t xml:space="preserve">High</t>
        </is>
      </c>
      <c r="H194" t="inlineStr">
        <is>
          <t xml:space="preserve">Built – audit finding</t>
        </is>
      </c>
      <c r="I194">
        <v>4.5</v>
      </c>
      <c r="J194">
        <v>2.25</v>
      </c>
      <c r="K194">
        <v>6.75</v>
      </c>
      <c r="L194" t="inlineStr">
        <is>
          <t xml:space="preserve">Backlog ref #168 · verdict ADJUSTED</t>
        </is>
      </c>
    </row>
    <row r="195">
      <c r="A195">
        <v>184</v>
      </c>
      <c r="B195" t="inlineStr">
        <is>
          <t xml:space="preserve">Code Audit</t>
        </is>
      </c>
      <c r="C195" t="inlineStr">
        <is>
          <t xml:space="preserve">QA &amp; Testing Gaps</t>
        </is>
      </c>
      <c r="D195" t="inlineStr">
        <is>
          <t xml:space="preserve">Branch (#41, MASTER_GRID)</t>
        </is>
      </c>
      <c r="E195" t="inlineStr">
        <is>
          <t xml:space="preserve">E2E test stability / actual pass rate: The most-iterated E2E suite in the product has never gone green across 7 runs; underlying screen behavior (widgets, side-panel, FK cascades) remains functionally unverified by this suite.</t>
        </is>
      </c>
      <c r="F195" t="inlineStr">
        <is>
          <t xml:space="preserve">Testing</t>
        </is>
      </c>
      <c r="G195" t="inlineStr">
        <is>
          <t xml:space="preserve">High</t>
        </is>
      </c>
      <c r="H195" t="inlineStr">
        <is>
          <t xml:space="preserve">Built – audit finding</t>
        </is>
      </c>
      <c r="I195">
        <v>4.5</v>
      </c>
      <c r="J195">
        <v>2.25</v>
      </c>
      <c r="K195">
        <v>6.75</v>
      </c>
      <c r="L195" t="inlineStr">
        <is>
          <t xml:space="preserve">Backlog ref #169 · verdict CONFIRMED</t>
        </is>
      </c>
    </row>
    <row r="196">
      <c r="A196">
        <v>185</v>
      </c>
      <c r="B196" t="inlineStr">
        <is>
          <t xml:space="preserve">Code Audit</t>
        </is>
      </c>
      <c r="C196" t="inlineStr">
        <is>
          <t xml:space="preserve">QA &amp; Testing Gaps</t>
        </is>
      </c>
      <c r="D196" t="inlineStr">
        <is>
          <t xml:space="preserve">Money-moving workflow screens (Refund #13, Grant #62, Pledge #12, Recurring Don…</t>
        </is>
      </c>
      <c r="E196" t="inlineStr">
        <is>
          <t xml:space="preserve">Negative/boundary business-flow test coverage: No automated or manual test verifies any of these state-machine guard conditions (illegal transitions, PAID-history preservation, commitment-aware guards).</t>
        </is>
      </c>
      <c r="F196" t="inlineStr">
        <is>
          <t xml:space="preserve">Testing</t>
        </is>
      </c>
      <c r="G196" t="inlineStr">
        <is>
          <t xml:space="preserve">High</t>
        </is>
      </c>
      <c r="H196" t="inlineStr">
        <is>
          <t xml:space="preserve">Built – audit finding</t>
        </is>
      </c>
      <c r="I196">
        <v>4.5</v>
      </c>
      <c r="J196">
        <v>2.25</v>
      </c>
      <c r="K196">
        <v>6.75</v>
      </c>
      <c r="L196" t="inlineStr">
        <is>
          <t xml:space="preserve">Backlog ref #170 · verdict CONFIRMED</t>
        </is>
      </c>
    </row>
    <row r="197">
      <c r="A197">
        <v>186</v>
      </c>
      <c r="B197" t="inlineStr">
        <is>
          <t xml:space="preserve">Code Audit</t>
        </is>
      </c>
      <c r="C197" t="inlineStr">
        <is>
          <t xml:space="preserve">Reports</t>
        </is>
      </c>
      <c r="D197" t="inlineStr">
        <is>
          <t xml:space="preserve">Generate Report / Report Catalog (Custom Report data grid)</t>
        </is>
      </c>
      <c r="E197" t="inlineStr">
        <is>
          <t xml:space="preserve">Server-side max-row guard on report view and export: No enforced server-side maximum row/page-size guard exists anywhere in the generic report-execution pipeline (view or export), for either the C# handler layer or the underlying Postgres export-mode functions.</t>
        </is>
      </c>
      <c r="F197" t="inlineStr">
        <is>
          <t xml:space="preserve">Fix – Performance</t>
        </is>
      </c>
      <c r="G197" t="inlineStr">
        <is>
          <t xml:space="preserve">High</t>
        </is>
      </c>
      <c r="H197" t="inlineStr">
        <is>
          <t xml:space="preserve">Built – audit finding</t>
        </is>
      </c>
      <c r="I197">
        <v>3.0</v>
      </c>
      <c r="J197">
        <v>1.5</v>
      </c>
      <c r="K197">
        <v>4.5</v>
      </c>
      <c r="L197" t="inlineStr">
        <is>
          <t xml:space="preserve">Backlog ref #171 · verdict CONFIRMED</t>
        </is>
      </c>
    </row>
    <row r="198">
      <c r="A198">
        <v>187</v>
      </c>
      <c r="B198" t="inlineStr">
        <is>
          <t xml:space="preserve">Code Audit</t>
        </is>
      </c>
      <c r="C198" t="inlineStr">
        <is>
          <t xml:space="preserve">Reports</t>
        </is>
      </c>
      <c r="D198" t="inlineStr">
        <is>
          <t xml:space="preserve">HTML Report Viewer / Report Catalog</t>
        </is>
      </c>
      <c r="E198" t="inlineStr">
        <is>
          <t xml:space="preserve">Role-based visibility of report templates: Confirmed and actually more concrete than originally described: a full ReportRole entity/table already exists in the codebase (Base.Domain/Models/AuthModels/ReportRole.cs — RoleId, ReportId, HasAccess, mirroring the exact WidgetRole patter…</t>
        </is>
      </c>
      <c r="F198" t="inlineStr">
        <is>
          <t xml:space="preserve">Fix – Security</t>
        </is>
      </c>
      <c r="G198" t="inlineStr">
        <is>
          <t xml:space="preserve">High</t>
        </is>
      </c>
      <c r="H198" t="inlineStr">
        <is>
          <t xml:space="preserve">Built – audit finding</t>
        </is>
      </c>
      <c r="I198">
        <v>3.0</v>
      </c>
      <c r="J198">
        <v>1.5</v>
      </c>
      <c r="K198">
        <v>4.5</v>
      </c>
      <c r="L198" t="inlineStr">
        <is>
          <t xml:space="preserve">Backlog ref #172 · verdict CONFIRMED</t>
        </is>
      </c>
    </row>
    <row r="199">
      <c r="A199">
        <v>188</v>
      </c>
      <c r="B199" t="inlineStr">
        <is>
          <t xml:space="preserve">Code Audit</t>
        </is>
      </c>
      <c r="C199" t="inlineStr">
        <is>
          <t xml:space="preserve">Root · Auth · Layout · Dashboards</t>
        </is>
      </c>
      <c r="D199" t="inlineStr">
        <is>
          <t xml:space="preserve">Login</t>
        </is>
      </c>
      <c r="E199" t="inlineStr">
        <is>
          <t xml:space="preserve">Account lockout / brute-force protection: On failed login, FailedLoginCount increments and IsLocked=true is set once it reaches 5, scoped only to the targeted UserId row (AuthendicationMutations.cs lines 64-76). Verified DependencyInjection.cs's full AddRateLimiter block (lines 22…</t>
        </is>
      </c>
      <c r="F199" t="inlineStr">
        <is>
          <t xml:space="preserve">Fix – Security</t>
        </is>
      </c>
      <c r="G199" t="inlineStr">
        <is>
          <t xml:space="preserve">High</t>
        </is>
      </c>
      <c r="H199" t="inlineStr">
        <is>
          <t xml:space="preserve">Built – audit finding</t>
        </is>
      </c>
      <c r="I199">
        <v>3.0</v>
      </c>
      <c r="J199">
        <v>1.5</v>
      </c>
      <c r="K199">
        <v>4.5</v>
      </c>
      <c r="L199" t="inlineStr">
        <is>
          <t xml:space="preserve">Backlog ref #173 · verdict CONFIRMED</t>
        </is>
      </c>
    </row>
    <row r="200">
      <c r="A200">
        <v>189</v>
      </c>
      <c r="B200" t="inlineStr">
        <is>
          <t xml:space="preserve">Code Audit</t>
        </is>
      </c>
      <c r="C200" t="inlineStr">
        <is>
          <t xml:space="preserve">Root · Auth · Layout · Dashboards</t>
        </is>
      </c>
      <c r="D200" t="inlineStr">
        <is>
          <t xml:space="preserve">Root / Global navigation</t>
        </is>
      </c>
      <c r="E200" t="inlineStr">
        <is>
          <t xml:space="preserve">Company Switcher: CompanySwitcherItem.handleSwitch correctly calls SWITCH_COMPANY_MUTATION, re-authenticates via signIn('credentials', {userData}), clears Apollo cache/localStorage, and hard-navigates. CompanySwitcher/index.tsx fetches STAFF_COMPANIES_BY_ST…</t>
        </is>
      </c>
      <c r="F200" t="inlineStr">
        <is>
          <t xml:space="preserve">Fix</t>
        </is>
      </c>
      <c r="G200" t="inlineStr">
        <is>
          <t xml:space="preserve">High</t>
        </is>
      </c>
      <c r="H200" t="inlineStr">
        <is>
          <t xml:space="preserve">Built – audit finding</t>
        </is>
      </c>
      <c r="I200">
        <v>2.5</v>
      </c>
      <c r="J200">
        <v>1.25</v>
      </c>
      <c r="K200">
        <v>3.75</v>
      </c>
      <c r="L200" t="inlineStr">
        <is>
          <t xml:space="preserve">Backlog ref #174 · verdict CONFIRMED</t>
        </is>
      </c>
    </row>
    <row r="201">
      <c r="A201">
        <v>190</v>
      </c>
      <c r="B201" t="inlineStr">
        <is>
          <t xml:space="preserve">Code Audit</t>
        </is>
      </c>
      <c r="C201" t="inlineStr">
        <is>
          <t xml:space="preserve">Root · Auth · Layout · Dashboards</t>
        </is>
      </c>
      <c r="D201" t="inlineStr">
        <is>
          <t xml:space="preserve">Root / Session handling</t>
        </is>
      </c>
      <c r="E201" t="inlineStr">
        <is>
          <t xml:space="preserve">JWT expiry vs declared ExpiresIn: AuthExtensions.CreateToken() sets the actual JWT SecurityTokenDescriptor.Expires = DateTime.UtcNow.AddDays(1) (24h validity, line 89) but returns ExpiresIn = (int)(DateTime.UtcNow.AddMinutes(15) - DateTime.UtcNow).TotalSeconds (line 109) —…</t>
        </is>
      </c>
      <c r="F201" t="inlineStr">
        <is>
          <t xml:space="preserve">Fix – Security</t>
        </is>
      </c>
      <c r="G201" t="inlineStr">
        <is>
          <t xml:space="preserve">High</t>
        </is>
      </c>
      <c r="H201" t="inlineStr">
        <is>
          <t xml:space="preserve">Built – audit finding</t>
        </is>
      </c>
      <c r="I201">
        <v>3.0</v>
      </c>
      <c r="J201">
        <v>1.5</v>
      </c>
      <c r="K201">
        <v>4.5</v>
      </c>
      <c r="L201" t="inlineStr">
        <is>
          <t xml:space="preserve">Backlog ref #175 · verdict CONFIRMED</t>
        </is>
      </c>
    </row>
    <row r="202">
      <c r="A202">
        <v>191</v>
      </c>
      <c r="B202" t="inlineStr">
        <is>
          <t xml:space="preserve">Code Audit</t>
        </is>
      </c>
      <c r="C202" t="inlineStr">
        <is>
          <t xml:space="preserve">Security &amp; Access Control</t>
        </is>
      </c>
      <c r="D202" t="inlineStr">
        <is>
          <t xml:space="preserve">Global / All GraphQL operations</t>
        </is>
      </c>
      <c r="E202" t="inlineStr">
        <is>
          <t xml:space="preserve">GraphQL query depth/cost limiting: The GraphQL endpoint has no server-level query depth, complexity, or cost limiting, and StrictValidation is turned off — though a code comment (lines 56-57) documents a specific reason for the latter (supporting Dictionary&lt;string,object&gt; i…</t>
        </is>
      </c>
      <c r="F202" t="inlineStr">
        <is>
          <t xml:space="preserve">Fix – Security</t>
        </is>
      </c>
      <c r="G202" t="inlineStr">
        <is>
          <t xml:space="preserve">High</t>
        </is>
      </c>
      <c r="H202" t="inlineStr">
        <is>
          <t xml:space="preserve">Built – audit finding</t>
        </is>
      </c>
      <c r="I202">
        <v>3.0</v>
      </c>
      <c r="J202">
        <v>1.5</v>
      </c>
      <c r="K202">
        <v>4.5</v>
      </c>
      <c r="L202" t="inlineStr">
        <is>
          <t xml:space="preserve">Backlog ref #176 · verdict ADJUSTED</t>
        </is>
      </c>
    </row>
    <row r="203">
      <c r="A203">
        <v>192</v>
      </c>
      <c r="B203" t="inlineStr">
        <is>
          <t xml:space="preserve">Code Audit</t>
        </is>
      </c>
      <c r="C203" t="inlineStr">
        <is>
          <t xml:space="preserve">Security &amp; Access Control</t>
        </is>
      </c>
      <c r="D203" t="inlineStr">
        <is>
          <t xml:space="preserve">Login brute-force lockout — written but never enforced</t>
        </is>
      </c>
      <c r="E203" t="inlineStr">
        <is>
          <t xml:space="preserve">Login lockout enforcement: The Login mutation increments FailedLoginCount and sets IsLocked=true after 5 failures, but the Login handler never checks result.user.IsLocked before calling VerifyPassword on subsequent attempts. The lockout flag is written but never rea…</t>
        </is>
      </c>
      <c r="F203" t="inlineStr">
        <is>
          <t xml:space="preserve">Fix – Security</t>
        </is>
      </c>
      <c r="G203" t="inlineStr">
        <is>
          <t xml:space="preserve">High</t>
        </is>
      </c>
      <c r="H203" t="inlineStr">
        <is>
          <t xml:space="preserve">Built – audit finding</t>
        </is>
      </c>
      <c r="I203">
        <v>3.0</v>
      </c>
      <c r="J203">
        <v>1.5</v>
      </c>
      <c r="K203">
        <v>4.5</v>
      </c>
      <c r="L203" t="inlineStr">
        <is>
          <t xml:space="preserve">Backlog ref #177 · verdict CONFIRMED</t>
        </is>
      </c>
    </row>
    <row r="204">
      <c r="A204">
        <v>193</v>
      </c>
      <c r="B204" t="inlineStr">
        <is>
          <t xml:space="preserve">Code Audit</t>
        </is>
      </c>
      <c r="C204" t="inlineStr">
        <is>
          <t xml:space="preserve">Security &amp; Access Control</t>
        </is>
      </c>
      <c r="D204" t="inlineStr">
        <is>
          <t xml:space="preserve">Media / Image Upload</t>
        </is>
      </c>
      <c r="E204" t="inlineStr">
        <is>
          <t xml:space="preserve">Unsanitized SVG upload (stored XSS vector): SVG is a script-capable format accepted with no content sanitization; combined with the public blob container and client-controlled Content-Type, an uploaded SVG can be served back and rendered inline from a trusted org-owned storage URL.</t>
        </is>
      </c>
      <c r="F204" t="inlineStr">
        <is>
          <t xml:space="preserve">Fix – Security</t>
        </is>
      </c>
      <c r="G204" t="inlineStr">
        <is>
          <t xml:space="preserve">High</t>
        </is>
      </c>
      <c r="H204" t="inlineStr">
        <is>
          <t xml:space="preserve">Built – audit finding</t>
        </is>
      </c>
      <c r="I204">
        <v>3.0</v>
      </c>
      <c r="J204">
        <v>1.5</v>
      </c>
      <c r="K204">
        <v>4.5</v>
      </c>
      <c r="L204" t="inlineStr">
        <is>
          <t xml:space="preserve">Backlog ref #178 · verdict CONFIRMED</t>
        </is>
      </c>
    </row>
    <row r="205">
      <c r="A205">
        <v>194</v>
      </c>
      <c r="B205" t="inlineStr">
        <is>
          <t xml:space="preserve">Code Audit</t>
        </is>
      </c>
      <c r="C205" t="inlineStr">
        <is>
          <t xml:space="preserve">Security &amp; Access Control</t>
        </is>
      </c>
      <c r="D205" t="inlineStr">
        <is>
          <t xml:space="preserve">Password reset token single-use enforcement</t>
        </is>
      </c>
      <c r="E205" t="inlineStr">
        <is>
          <t xml:space="preserve">Password reset token replay prevention: ResetPasswordsCommandHandler validates the token's decrypted expiry (24h) but never checks PasswordReset.IsUsed before performing the password change — it only sets IsUsed=true after the reset succeeds. A previously-used reset link remains…</t>
        </is>
      </c>
      <c r="F205" t="inlineStr">
        <is>
          <t xml:space="preserve">Fix – Security</t>
        </is>
      </c>
      <c r="G205" t="inlineStr">
        <is>
          <t xml:space="preserve">High</t>
        </is>
      </c>
      <c r="H205" t="inlineStr">
        <is>
          <t xml:space="preserve">Built – audit finding</t>
        </is>
      </c>
      <c r="I205">
        <v>3.0</v>
      </c>
      <c r="J205">
        <v>1.5</v>
      </c>
      <c r="K205">
        <v>4.5</v>
      </c>
      <c r="L205" t="inlineStr">
        <is>
          <t xml:space="preserve">Backlog ref #179 · verdict CONFIRMED</t>
        </is>
      </c>
    </row>
    <row r="206">
      <c r="A206">
        <v>195</v>
      </c>
      <c r="B206" t="inlineStr">
        <is>
          <t xml:space="preserve">Code Audit</t>
        </is>
      </c>
      <c r="C206" t="inlineStr">
        <is>
          <t xml:space="preserve">Security &amp; Access Control</t>
        </is>
      </c>
      <c r="D206" t="inlineStr">
        <is>
          <t xml:space="preserve">SendGrid webhook — debug raw endpoint (unauthenticated)</t>
        </is>
      </c>
      <c r="E206" t="inlineStr">
        <is>
          <t xml:space="preserve">SendGrid webhook signature validation: /api/webhooks/sendgrid/events-raw is [AllowAnonymous] with its [ValidateSendGridWebhook] signature-validation filter commented out, and directly deserializes and processes attacker-supplied JSON into the email-status pipeline (delivered/bo…</t>
        </is>
      </c>
      <c r="F206" t="inlineStr">
        <is>
          <t xml:space="preserve">Fix – Security</t>
        </is>
      </c>
      <c r="G206" t="inlineStr">
        <is>
          <t xml:space="preserve">High</t>
        </is>
      </c>
      <c r="H206" t="inlineStr">
        <is>
          <t xml:space="preserve">Built – audit finding</t>
        </is>
      </c>
      <c r="I206">
        <v>3.0</v>
      </c>
      <c r="J206">
        <v>1.5</v>
      </c>
      <c r="K206">
        <v>4.5</v>
      </c>
      <c r="L206" t="inlineStr">
        <is>
          <t xml:space="preserve">Backlog ref #180 · verdict CONFIRMED</t>
        </is>
      </c>
    </row>
    <row r="207">
      <c r="A207">
        <v>196</v>
      </c>
      <c r="B207" t="inlineStr">
        <is>
          <t xml:space="preserve">Code Audit</t>
        </is>
      </c>
      <c r="C207" t="inlineStr">
        <is>
          <t xml:space="preserve">Settings &amp; Configuration</t>
        </is>
      </c>
      <c r="D207" t="inlineStr">
        <is>
          <t xml:space="preserve">Accounting Integration (Settings &gt; Integrations &gt; Accounting)</t>
        </is>
      </c>
      <c r="E207" t="inlineStr">
        <is>
          <t xml:space="preserve">ConnectAccountingProvider: The 'Connect Accounting Provider' feature presents as fully functional (generates what look like real access/refresh tokens and a company name) but never actually authenticates with any external accounting system — any subsequent sync/expo…</t>
        </is>
      </c>
      <c r="F207" t="inlineStr">
        <is>
          <t xml:space="preserve">Fix</t>
        </is>
      </c>
      <c r="G207" t="inlineStr">
        <is>
          <t xml:space="preserve">High</t>
        </is>
      </c>
      <c r="H207" t="inlineStr">
        <is>
          <t xml:space="preserve">Built – audit finding</t>
        </is>
      </c>
      <c r="I207">
        <v>2.5</v>
      </c>
      <c r="J207">
        <v>1.25</v>
      </c>
      <c r="K207">
        <v>3.75</v>
      </c>
      <c r="L207" t="inlineStr">
        <is>
          <t xml:space="preserve">Backlog ref #181 · verdict CONFIRMED</t>
        </is>
      </c>
    </row>
    <row r="208">
      <c r="A208">
        <v>197</v>
      </c>
      <c r="B208" t="inlineStr">
        <is>
          <t xml:space="preserve">Code Audit</t>
        </is>
      </c>
      <c r="C208" t="inlineStr">
        <is>
          <t xml:space="preserve">Settings &amp; Configuration</t>
        </is>
      </c>
      <c r="D208" t="inlineStr">
        <is>
          <t xml:space="preserve">API Keys (Settings &gt; Integrations &gt; API Keys)</t>
        </is>
      </c>
      <c r="E208" t="inlineStr">
        <is>
          <t xml:space="preserve">ApiKey creation/rotation vs. inbound request authentication: The ApiKey feature lets admins generate, rotate, and revoke API keys through the UI, but there is no code path anywhere that actually consumes/validates a caller-presented API key against `HashedKey` to authenticate/authorize any request —…</t>
        </is>
      </c>
      <c r="F208" t="inlineStr">
        <is>
          <t xml:space="preserve">Fix</t>
        </is>
      </c>
      <c r="G208" t="inlineStr">
        <is>
          <t xml:space="preserve">High</t>
        </is>
      </c>
      <c r="H208" t="inlineStr">
        <is>
          <t xml:space="preserve">Built – audit finding</t>
        </is>
      </c>
      <c r="I208">
        <v>2.5</v>
      </c>
      <c r="J208">
        <v>1.25</v>
      </c>
      <c r="K208">
        <v>3.75</v>
      </c>
      <c r="L208" t="inlineStr">
        <is>
          <t xml:space="preserve">Backlog ref #182 · verdict CONFIRMED</t>
        </is>
      </c>
    </row>
    <row r="209">
      <c r="A209">
        <v>198</v>
      </c>
      <c r="B209" t="inlineStr">
        <is>
          <t xml:space="preserve">Code Audit</t>
        </is>
      </c>
      <c r="C209" t="inlineStr">
        <is>
          <t xml:space="preserve">Settings &amp; Configuration</t>
        </is>
      </c>
      <c r="D209" t="inlineStr">
        <is>
          <t xml:space="preserve">Certificate Templates (Settings &gt; Contact &gt; Certificate Templates)</t>
        </is>
      </c>
      <c r="E209" t="inlineStr">
        <is>
          <t xml:space="preserve">GetCertificateTemplateById / UpdateCertificateTemplate: The original finding's framing of a 'tenant hijack primitive' / literal ownership-theft via CompanyId reassignment does NOT survive scrutiny — the SaveChangesInterceptor silently blocks that exact write from persisting. The REAL, still-unm…</t>
        </is>
      </c>
      <c r="F209" t="inlineStr">
        <is>
          <t xml:space="preserve">Fix</t>
        </is>
      </c>
      <c r="G209" t="inlineStr">
        <is>
          <t xml:space="preserve">High</t>
        </is>
      </c>
      <c r="H209" t="inlineStr">
        <is>
          <t xml:space="preserve">Built – audit finding</t>
        </is>
      </c>
      <c r="I209">
        <v>2.5</v>
      </c>
      <c r="J209">
        <v>1.25</v>
      </c>
      <c r="K209">
        <v>3.75</v>
      </c>
      <c r="L209" t="inlineStr">
        <is>
          <t xml:space="preserve">Backlog ref #183 · verdict ADJUSTED</t>
        </is>
      </c>
    </row>
    <row r="210">
      <c r="A210">
        <v>199</v>
      </c>
      <c r="B210" t="inlineStr">
        <is>
          <t xml:space="preserve">Code Audit</t>
        </is>
      </c>
      <c r="C210" t="inlineStr">
        <is>
          <t xml:space="preserve">Settings &amp; Configuration</t>
        </is>
      </c>
      <c r="D210" t="inlineStr">
        <is>
          <t xml:space="preserve">SMS Settings / WhatsApp Settings (Settings &gt; Notify &gt; SMS &amp; WhatsApp Setup)</t>
        </is>
      </c>
      <c r="E210" t="inlineStr">
        <is>
          <t xml:space="preserve">SaveSmsConnectionSettings (and companion WhatsApp handler): SMS provider credentials (Twilio auth token, Bird/Vonage/Local/Custom API keys and secrets) are stored in plaintext in the database, unlike the equivalent CompanyPaymentGateway secrets which use per-tenant AES-GCM encryption via IEncryptio…</t>
        </is>
      </c>
      <c r="F210" t="inlineStr">
        <is>
          <t xml:space="preserve">Fix</t>
        </is>
      </c>
      <c r="G210" t="inlineStr">
        <is>
          <t xml:space="preserve">High</t>
        </is>
      </c>
      <c r="H210" t="inlineStr">
        <is>
          <t xml:space="preserve">Built – audit finding</t>
        </is>
      </c>
      <c r="I210">
        <v>2.5</v>
      </c>
      <c r="J210">
        <v>1.25</v>
      </c>
      <c r="K210">
        <v>3.75</v>
      </c>
      <c r="L210" t="inlineStr">
        <is>
          <t xml:space="preserve">Backlog ref #184 · verdict CONFIRMED</t>
        </is>
      </c>
    </row>
    <row r="211">
      <c r="A211">
        <v>200</v>
      </c>
      <c r="B211" t="inlineStr">
        <is>
          <t xml:space="preserve">Code Audit</t>
        </is>
      </c>
      <c r="C211" t="inlineStr">
        <is>
          <t xml:space="preserve">Settings &amp; Configuration</t>
        </is>
      </c>
      <c r="D211" t="inlineStr">
        <is>
          <t xml:space="preserve">Social Media Integration (Settings &gt; Integrations &gt; Social Media)</t>
        </is>
      </c>
      <c r="E211" t="inlineStr">
        <is>
          <t xml:space="preserve">ConnectSocialMediaAccount: The Social Media integration feature fabricates both the OAuth connection AND ongoing account statistics (follower count) that would be displayed to admins as if they were real, live data pulled from the connected platform.</t>
        </is>
      </c>
      <c r="F211" t="inlineStr">
        <is>
          <t xml:space="preserve">Fix</t>
        </is>
      </c>
      <c r="G211" t="inlineStr">
        <is>
          <t xml:space="preserve">High</t>
        </is>
      </c>
      <c r="H211" t="inlineStr">
        <is>
          <t xml:space="preserve">Built – audit finding</t>
        </is>
      </c>
      <c r="I211">
        <v>2.5</v>
      </c>
      <c r="J211">
        <v>1.25</v>
      </c>
      <c r="K211">
        <v>3.75</v>
      </c>
      <c r="L211" t="inlineStr">
        <is>
          <t xml:space="preserve">Backlog ref #185 · verdict CONFIRMED</t>
        </is>
      </c>
    </row>
    <row r="212">
      <c r="A212">
        <v>201</v>
      </c>
      <c r="B212" t="inlineStr">
        <is>
          <t xml:space="preserve">Code Audit</t>
        </is>
      </c>
      <c r="C212" t="inlineStr">
        <is>
          <t xml:space="preserve">UI/UX &amp; Design-System Compliance</t>
        </is>
      </c>
      <c r="D212" t="inlineStr">
        <is>
          <t xml:space="preserve">Dashboard widgets (Ambassador dashboard and 99 other widget files confirmed via…</t>
        </is>
      </c>
      <c r="E212" t="inlineStr">
        <is>
          <t xml:space="preserve">Widget icon containers, alert/warning states, and matching skeletons: Icon containers, WarningState/ErrorState inline components, and severity-color-mapping functions (e.g. severityClasses()) across dashboard widgets use translucent Tailwind opacity-suffix classes (bg-amber-500/10, bg-amber-500/15, bg-rose-5…</t>
        </is>
      </c>
      <c r="F212" t="inlineStr">
        <is>
          <t xml:space="preserve">Fix – UI/UX</t>
        </is>
      </c>
      <c r="G212" t="inlineStr">
        <is>
          <t xml:space="preserve">High</t>
        </is>
      </c>
      <c r="H212" t="inlineStr">
        <is>
          <t xml:space="preserve">Built – audit finding</t>
        </is>
      </c>
      <c r="I212">
        <v>2.0</v>
      </c>
      <c r="J212">
        <v>1.0</v>
      </c>
      <c r="K212">
        <v>3.0</v>
      </c>
      <c r="L212" t="inlineStr">
        <is>
          <t xml:space="preserve">Backlog ref #186 · verdict CONFIRMED</t>
        </is>
      </c>
    </row>
    <row r="213">
      <c r="A213">
        <v>202</v>
      </c>
      <c r="B213" t="inlineStr">
        <is>
          <t xml:space="preserve">Code Audit</t>
        </is>
      </c>
      <c r="C213" t="inlineStr">
        <is>
          <t xml:space="preserve">UI/UX &amp; Design-System Compliance</t>
        </is>
      </c>
      <c r="D213" t="inlineStr">
        <is>
          <t xml:space="preserve">Every form field across the application</t>
        </is>
      </c>
      <c r="E213" t="inlineStr">
        <is>
          <t xml:space="preserve">Shared Input atom — keyboard focus indicator: inputVariants only applies focus:outline-none focus:border-{color} (a border-color change) for every color variant (default/primary/info/warning/success/destructive) — no focus ring or box-shadow exists anywhere in the file.</t>
        </is>
      </c>
      <c r="F213" t="inlineStr">
        <is>
          <t xml:space="preserve">Fix – UI/UX</t>
        </is>
      </c>
      <c r="G213" t="inlineStr">
        <is>
          <t xml:space="preserve">High</t>
        </is>
      </c>
      <c r="H213" t="inlineStr">
        <is>
          <t xml:space="preserve">Built – audit finding</t>
        </is>
      </c>
      <c r="I213">
        <v>2.0</v>
      </c>
      <c r="J213">
        <v>1.0</v>
      </c>
      <c r="K213">
        <v>3.0</v>
      </c>
      <c r="L213" t="inlineStr">
        <is>
          <t xml:space="preserve">Backlog ref #187 · verdict CONFIRMED</t>
        </is>
      </c>
    </row>
    <row r="214">
      <c r="A214">
        <v>203</v>
      </c>
      <c r="B214" t="inlineStr">
        <is>
          <t xml:space="preserve">Code Audit</t>
        </is>
      </c>
      <c r="C214" t="inlineStr">
        <is>
          <t xml:space="preserve">Volunteer &amp; Membership</t>
        </is>
      </c>
      <c r="D214" t="inlineStr">
        <is>
          <t xml:space="preserve">Membership Renewal (bulk reminders)</t>
        </is>
      </c>
      <c r="E214" t="inlineStr">
        <is>
          <t xml:space="preserve">Renewal reminder automation: Confirmed — reminders (DueThisMonth/Overdue/AutoRenewFailures/AllUpcoming tabs) are never sent automatically; a staff member must manually trigger 'Send Reminders' per tab, per tenant, every time.</t>
        </is>
      </c>
      <c r="F214" t="inlineStr">
        <is>
          <t xml:space="preserve">Fix – Business Logic</t>
        </is>
      </c>
      <c r="G214" t="inlineStr">
        <is>
          <t xml:space="preserve">High</t>
        </is>
      </c>
      <c r="H214" t="inlineStr">
        <is>
          <t xml:space="preserve">Built – audit finding</t>
        </is>
      </c>
      <c r="I214">
        <v>3.0</v>
      </c>
      <c r="J214">
        <v>1.5</v>
      </c>
      <c r="K214">
        <v>4.5</v>
      </c>
      <c r="L214" t="inlineStr">
        <is>
          <t xml:space="preserve">Backlog ref #188 · verdict CONFIRMED</t>
        </is>
      </c>
    </row>
    <row r="215">
      <c r="A215">
        <v>204</v>
      </c>
      <c r="B215" t="inlineStr">
        <is>
          <t xml:space="preserve">Code Audit</t>
        </is>
      </c>
      <c r="C215" t="inlineStr">
        <is>
          <t xml:space="preserve">Volunteer &amp; Membership</t>
        </is>
      </c>
      <c r="D215" t="inlineStr">
        <is>
          <t xml:space="preserve">Membership Renewal (renewal/expiry engine)</t>
        </is>
      </c>
      <c r="E215" t="inlineStr">
        <is>
          <t xml:space="preserve">Automated membership expiry processing: Confirmed on both counts: (1) no scheduled/automatic job exists — the expiry transition is manual-trigger only; (2) when triggered, the query is completely unscoped by CompanyId, processing every tenant's data in one pass.</t>
        </is>
      </c>
      <c r="F215" t="inlineStr">
        <is>
          <t xml:space="preserve">Fix – Business Logic</t>
        </is>
      </c>
      <c r="G215" t="inlineStr">
        <is>
          <t xml:space="preserve">High</t>
        </is>
      </c>
      <c r="H215" t="inlineStr">
        <is>
          <t xml:space="preserve">Built – audit finding</t>
        </is>
      </c>
      <c r="I215">
        <v>3.0</v>
      </c>
      <c r="J215">
        <v>1.5</v>
      </c>
      <c r="K215">
        <v>4.5</v>
      </c>
      <c r="L215" t="inlineStr">
        <is>
          <t xml:space="preserve">Backlog ref #189 · verdict CONFIRMED</t>
        </is>
      </c>
    </row>
    <row r="216">
      <c r="A216">
        <v>205</v>
      </c>
      <c r="B216" t="inlineStr">
        <is>
          <t xml:space="preserve">Code Audit</t>
        </is>
      </c>
      <c r="C216" t="inlineStr">
        <is>
          <t xml:space="preserve">Volunteer &amp; Membership</t>
        </is>
      </c>
      <c r="D216" t="inlineStr">
        <is>
          <t xml:space="preserve">Volunteer Schedule (Assign Volunteer to Shift / Get Available Volunteers)</t>
        </is>
      </c>
      <c r="E216" t="inlineStr">
        <is>
          <t xml:space="preserve">Volunteer availability and shift-assignment integrity: Confirmed exactly as reported — the 'availability' computation is fully hardcoded/fake; blackout dates, shift-time overlaps, and skill-match requirements are captured elsewhere in the system but never consulted here.</t>
        </is>
      </c>
      <c r="F216" t="inlineStr">
        <is>
          <t xml:space="preserve">Fix</t>
        </is>
      </c>
      <c r="G216" t="inlineStr">
        <is>
          <t xml:space="preserve">High</t>
        </is>
      </c>
      <c r="H216" t="inlineStr">
        <is>
          <t xml:space="preserve">Built – audit finding</t>
        </is>
      </c>
      <c r="I216">
        <v>2.5</v>
      </c>
      <c r="J216">
        <v>1.25</v>
      </c>
      <c r="K216">
        <v>3.75</v>
      </c>
      <c r="L216" t="inlineStr">
        <is>
          <t xml:space="preserve">Backlog ref #190 · verdict CONFIRMED</t>
        </is>
      </c>
    </row>
    <row r="217">
      <c r="A217">
        <v>206</v>
      </c>
      <c r="B217" t="inlineStr">
        <is>
          <t xml:space="preserve">Code Audit</t>
        </is>
      </c>
      <c r="C217" t="inlineStr">
        <is>
          <t xml:space="preserve">Administration / System Configuration</t>
        </is>
      </c>
      <c r="D217" t="inlineStr">
        <is>
          <t xml:space="preserve">Administration &gt; Login / Session (JWT issuance) — cross-cutting to all RBAC-pro…</t>
        </is>
      </c>
      <c r="E217" t="inlineStr">
        <is>
          <t xml:space="preserve">JWT Revocation Latency for SuperAdmin/Role Claims: If an admin revokes a user's SuperAdmin flag or removes them from a role/company mid-session (e.g. during an active security incident, offboarding, or role correction), that change has no effect on the user's authorization for up to 24 hou…</t>
        </is>
      </c>
      <c r="F217" t="inlineStr">
        <is>
          <t xml:space="preserve">Fix – Security</t>
        </is>
      </c>
      <c r="G217" t="inlineStr">
        <is>
          <t xml:space="preserve">Medium</t>
        </is>
      </c>
      <c r="H217" t="inlineStr">
        <is>
          <t xml:space="preserve">Built – audit finding</t>
        </is>
      </c>
      <c r="I217">
        <v>2.0</v>
      </c>
      <c r="J217">
        <v>1.0</v>
      </c>
      <c r="K217">
        <v>3.0</v>
      </c>
      <c r="L217" t="inlineStr">
        <is>
          <t xml:space="preserve">Backlog ref #191 · verdict CONFIRMED</t>
        </is>
      </c>
    </row>
    <row r="218">
      <c r="A218">
        <v>207</v>
      </c>
      <c r="B218" t="inlineStr">
        <is>
          <t xml:space="preserve">Code Audit</t>
        </is>
      </c>
      <c r="C218" t="inlineStr">
        <is>
          <t xml:space="preserve">Administration / System Configuration</t>
        </is>
      </c>
      <c r="D218" t="inlineStr">
        <is>
          <t xml:space="preserve">Audit Trail</t>
        </is>
      </c>
      <c r="E218" t="inlineStr">
        <is>
          <t xml:space="preserve">Non-forensic audit rows for workflow approvals: Any Approve*/Reject*/Submit* command that does not additionally make its own explicit, entity-ID-aware audit call produces an audit row that records that SOME approval/rejection happened, by whom, but not which record — making the audit tr…</t>
        </is>
      </c>
      <c r="F218" t="inlineStr">
        <is>
          <t xml:space="preserve">Fix</t>
        </is>
      </c>
      <c r="G218" t="inlineStr">
        <is>
          <t xml:space="preserve">Medium</t>
        </is>
      </c>
      <c r="H218" t="inlineStr">
        <is>
          <t xml:space="preserve">Built – audit finding</t>
        </is>
      </c>
      <c r="I218">
        <v>1.5</v>
      </c>
      <c r="J218">
        <v>0.75</v>
      </c>
      <c r="K218">
        <v>2.25</v>
      </c>
      <c r="L218" t="inlineStr">
        <is>
          <t xml:space="preserve">Backlog ref #192 · verdict CONFIRMED</t>
        </is>
      </c>
    </row>
    <row r="219">
      <c r="A219">
        <v>208</v>
      </c>
      <c r="B219" t="inlineStr">
        <is>
          <t xml:space="preserve">Code Audit</t>
        </is>
      </c>
      <c r="C219" t="inlineStr">
        <is>
          <t xml:space="preserve">Administration / System Configuration</t>
        </is>
      </c>
      <c r="D219" t="inlineStr">
        <is>
          <t xml:space="preserve">Company Settings — Security tab (Audit/Retention)</t>
        </is>
      </c>
      <c r="E219" t="inlineStr">
        <is>
          <t xml:space="preserve">Audit/data retention settings have no enforcement: No runtime job, hosted service, or scheduled task implements retention/purge for either setting. A search of Base.Infrastructure/HostedServices and Base.Infrastructure/Jobs for 'Retention'/'Purge' found no runtime implementation; the only…</t>
        </is>
      </c>
      <c r="F219" t="inlineStr">
        <is>
          <t xml:space="preserve">Ops/Config</t>
        </is>
      </c>
      <c r="G219" t="inlineStr">
        <is>
          <t xml:space="preserve">Medium</t>
        </is>
      </c>
      <c r="H219" t="inlineStr">
        <is>
          <t xml:space="preserve">Built – audit finding</t>
        </is>
      </c>
      <c r="I219">
        <v>2.0</v>
      </c>
      <c r="J219">
        <v>1.0</v>
      </c>
      <c r="K219">
        <v>3.0</v>
      </c>
      <c r="L219" t="inlineStr">
        <is>
          <t xml:space="preserve">Backlog ref #193 · verdict CONFIRMED</t>
        </is>
      </c>
    </row>
    <row r="220">
      <c r="A220">
        <v>209</v>
      </c>
      <c r="B220" t="inlineStr">
        <is>
          <t xml:space="preserve">Code Audit</t>
        </is>
      </c>
      <c r="C220" t="inlineStr">
        <is>
          <t xml:space="preserve">Administration / System Configuration</t>
        </is>
      </c>
      <c r="D220" t="inlineStr">
        <is>
          <t xml:space="preserve">Login — Credential lookup</t>
        </is>
      </c>
      <c r="E220" t="inlineStr">
        <is>
          <t xml:space="preserve">Cross-tenant username lookup on login: Username-based login resolution operates globally across all tenants rather than per-company, meaning UserName is effectively a single global namespace shared by every NGO/company on the platform.</t>
        </is>
      </c>
      <c r="F220" t="inlineStr">
        <is>
          <t xml:space="preserve">Fix</t>
        </is>
      </c>
      <c r="G220" t="inlineStr">
        <is>
          <t xml:space="preserve">Medium</t>
        </is>
      </c>
      <c r="H220" t="inlineStr">
        <is>
          <t xml:space="preserve">Built – audit finding</t>
        </is>
      </c>
      <c r="I220">
        <v>1.5</v>
      </c>
      <c r="J220">
        <v>0.75</v>
      </c>
      <c r="K220">
        <v>2.25</v>
      </c>
      <c r="L220" t="inlineStr">
        <is>
          <t xml:space="preserve">Backlog ref #194 · verdict CONFIRMED</t>
        </is>
      </c>
    </row>
    <row r="221">
      <c r="A221">
        <v>210</v>
      </c>
      <c r="B221" t="inlineStr">
        <is>
          <t xml:space="preserve">Code Audit</t>
        </is>
      </c>
      <c r="C221" t="inlineStr">
        <is>
          <t xml:space="preserve">Administration / System Configuration</t>
        </is>
      </c>
      <c r="D221" t="inlineStr">
        <is>
          <t xml:space="preserve">User Management — Activate/Deactivate User</t>
        </is>
      </c>
      <c r="E221" t="inlineStr">
        <is>
          <t xml:space="preserve">Inconsistent SUPERADMIN protection between deactivate and delete: Any user holding User.Modify permission can deactivate a SUPERADMIN's account (`IsActive=false`), even though that same actor is explicitly blocked from deleting that account — an inconsistent, easily-bypassed privilege boundary (deactivat…</t>
        </is>
      </c>
      <c r="F221" t="inlineStr">
        <is>
          <t xml:space="preserve">Fix – Security</t>
        </is>
      </c>
      <c r="G221" t="inlineStr">
        <is>
          <t xml:space="preserve">Medium</t>
        </is>
      </c>
      <c r="H221" t="inlineStr">
        <is>
          <t xml:space="preserve">Built – audit finding</t>
        </is>
      </c>
      <c r="I221">
        <v>2.0</v>
      </c>
      <c r="J221">
        <v>1.0</v>
      </c>
      <c r="K221">
        <v>3.0</v>
      </c>
      <c r="L221" t="inlineStr">
        <is>
          <t xml:space="preserve">Backlog ref #195 · verdict CONFIRMED</t>
        </is>
      </c>
    </row>
    <row r="222">
      <c r="A222">
        <v>211</v>
      </c>
      <c r="B222" t="inlineStr">
        <is>
          <t xml:space="preserve">Code Audit</t>
        </is>
      </c>
      <c r="C222" t="inlineStr">
        <is>
          <t xml:space="preserve">Administration / System Configuration</t>
        </is>
      </c>
      <c r="D222" t="inlineStr">
        <is>
          <t xml:space="preserve">User Management — Impersonate User</t>
        </is>
      </c>
      <c r="E222" t="inlineStr">
        <is>
          <t xml:space="preserve">Non-functional Impersonate User mutation exposed: Although the FE does not yet call the broken mutation (reducing user-facing risk today), the GraphQL mutation itself is fully exposed and reachable by anyone with the right permission/token (e.g., via GraphQL Playground or a direct API cal…</t>
        </is>
      </c>
      <c r="F222" t="inlineStr">
        <is>
          <t xml:space="preserve">Fix</t>
        </is>
      </c>
      <c r="G222" t="inlineStr">
        <is>
          <t xml:space="preserve">Medium</t>
        </is>
      </c>
      <c r="H222" t="inlineStr">
        <is>
          <t xml:space="preserve">Built – audit finding</t>
        </is>
      </c>
      <c r="I222">
        <v>1.5</v>
      </c>
      <c r="J222">
        <v>0.75</v>
      </c>
      <c r="K222">
        <v>2.25</v>
      </c>
      <c r="L222" t="inlineStr">
        <is>
          <t xml:space="preserve">Backlog ref #196 · verdict CONFIRMED</t>
        </is>
      </c>
    </row>
    <row r="223">
      <c r="A223">
        <v>212</v>
      </c>
      <c r="B223" t="inlineStr">
        <is>
          <t xml:space="preserve">Code Audit</t>
        </is>
      </c>
      <c r="C223" t="inlineStr">
        <is>
          <t xml:space="preserve">Administration / System Configuration</t>
        </is>
      </c>
      <c r="D223" t="inlineStr">
        <is>
          <t xml:space="preserve">User Management — Reset Password</t>
        </is>
      </c>
      <c r="E223" t="inlineStr">
        <is>
          <t xml:space="preserve">Temp password exposure via GraphQL response: The plaintext secret is exposed via a second channel beyond email: the GraphQL response body, which is subject to request/response logging, APM tracing, browser devtools network tab, and any FE state management that retains the mutation re…</t>
        </is>
      </c>
      <c r="F223" t="inlineStr">
        <is>
          <t xml:space="preserve">Fix – Security</t>
        </is>
      </c>
      <c r="G223" t="inlineStr">
        <is>
          <t xml:space="preserve">Medium</t>
        </is>
      </c>
      <c r="H223" t="inlineStr">
        <is>
          <t xml:space="preserve">Built – audit finding</t>
        </is>
      </c>
      <c r="I223">
        <v>2.0</v>
      </c>
      <c r="J223">
        <v>1.0</v>
      </c>
      <c r="K223">
        <v>3.0</v>
      </c>
      <c r="L223" t="inlineStr">
        <is>
          <t xml:space="preserve">Backlog ref #197 · verdict CONFIRMED</t>
        </is>
      </c>
    </row>
    <row r="224">
      <c r="A224">
        <v>213</v>
      </c>
      <c r="B224" t="inlineStr">
        <is>
          <t xml:space="preserve">Code Audit</t>
        </is>
      </c>
      <c r="C224" t="inlineStr">
        <is>
          <t xml:space="preserve">Administration / System Configuration</t>
        </is>
      </c>
      <c r="D224" t="inlineStr">
        <is>
          <t xml:space="preserve">User Management — Terminate Sessions</t>
        </is>
      </c>
      <c r="E224" t="inlineStr">
        <is>
          <t xml:space="preserve">Missing audit trail for session termination: `RefreshToken` is in `AuditLogInterceptor.SkippedEntityTypes` (excluded from the generic entity-change audit path), and no dedicated audit call is made — so this admin security action produces zero audit trail entries.</t>
        </is>
      </c>
      <c r="F224" t="inlineStr">
        <is>
          <t xml:space="preserve">Fix – Security</t>
        </is>
      </c>
      <c r="G224" t="inlineStr">
        <is>
          <t xml:space="preserve">Medium</t>
        </is>
      </c>
      <c r="H224" t="inlineStr">
        <is>
          <t xml:space="preserve">Built – audit finding</t>
        </is>
      </c>
      <c r="I224">
        <v>2.0</v>
      </c>
      <c r="J224">
        <v>1.0</v>
      </c>
      <c r="K224">
        <v>3.0</v>
      </c>
      <c r="L224" t="inlineStr">
        <is>
          <t xml:space="preserve">Backlog ref #198 · verdict CONFIRMED</t>
        </is>
      </c>
    </row>
    <row r="225">
      <c r="A225">
        <v>214</v>
      </c>
      <c r="B225" t="inlineStr">
        <is>
          <t xml:space="preserve">Code Audit</t>
        </is>
      </c>
      <c r="C225" t="inlineStr">
        <is>
          <t xml:space="preserve">API / GraphQL Contract</t>
        </is>
      </c>
      <c r="D225" t="inlineStr">
        <is>
          <t xml:space="preserve">All GraphQL list queries with child navigation properties (e.g. Base.Applicatio…</t>
        </is>
      </c>
      <c r="E225" t="inlineStr">
        <is>
          <t xml:space="preserve">Selection-set-aware projection / eager-loading efficiency: Zero DataLoader/HotChocolate UseProjection usage exists anywhere. GetGrantsHandler.Handle unconditionally chains 10 `.Include()` calls on every grants-list call regardless of which fields the client actually requested.</t>
        </is>
      </c>
      <c r="F225" t="inlineStr">
        <is>
          <t xml:space="preserve">Fix</t>
        </is>
      </c>
      <c r="G225" t="inlineStr">
        <is>
          <t xml:space="preserve">Medium</t>
        </is>
      </c>
      <c r="H225" t="inlineStr">
        <is>
          <t xml:space="preserve">Built – audit finding</t>
        </is>
      </c>
      <c r="I225">
        <v>1.5</v>
      </c>
      <c r="J225">
        <v>0.75</v>
      </c>
      <c r="K225">
        <v>2.25</v>
      </c>
      <c r="L225" t="inlineStr">
        <is>
          <t xml:space="preserve">Backlog ref #199 · verdict ADJUSTED</t>
        </is>
      </c>
    </row>
    <row r="226">
      <c r="A226">
        <v>215</v>
      </c>
      <c r="B226" t="inlineStr">
        <is>
          <t xml:space="preserve">Code Audit</t>
        </is>
      </c>
      <c r="C226" t="inlineStr">
        <is>
          <t xml:space="preserve">API / GraphQL Contract</t>
        </is>
      </c>
      <c r="D226" t="inlineStr">
        <is>
          <t xml:space="preserve">GraphQL schema-wide (e.g. GrantStageHistoryResponseDto.AmountReceived in Base.A…</t>
        </is>
      </c>
      <c r="E226" t="inlineStr">
        <is>
          <t xml:space="preserve">Schema versioning / field deprecation: No `@deprecated` directive (nor `[GraphQLDeprecated]`) exists anywhere in the schema (confirmed via grep). At least one confirmed case — `GrantStageHistoryResponseDto.AmountReceived` — has BE code comments explicitly stating it is supersed…</t>
        </is>
      </c>
      <c r="F226" t="inlineStr">
        <is>
          <t xml:space="preserve">Fix</t>
        </is>
      </c>
      <c r="G226" t="inlineStr">
        <is>
          <t xml:space="preserve">Medium</t>
        </is>
      </c>
      <c r="H226" t="inlineStr">
        <is>
          <t xml:space="preserve">Built – audit finding</t>
        </is>
      </c>
      <c r="I226">
        <v>1.5</v>
      </c>
      <c r="J226">
        <v>0.75</v>
      </c>
      <c r="K226">
        <v>2.25</v>
      </c>
      <c r="L226" t="inlineStr">
        <is>
          <t xml:space="preserve">Backlog ref #200 · verdict CONFIRMED</t>
        </is>
      </c>
    </row>
    <row r="227">
      <c r="A227">
        <v>216</v>
      </c>
      <c r="B227" t="inlineStr">
        <is>
          <t xml:space="preserve">Code Audit</t>
        </is>
      </c>
      <c r="C227" t="inlineStr">
        <is>
          <t xml:space="preserve">Background Services &amp; Scheduled Jobs</t>
        </is>
      </c>
      <c r="D227" t="inlineStr">
        <is>
          <t xml:space="preserve">Cross-cutting — Audit Log pipeline</t>
        </is>
      </c>
      <c r="E227" t="inlineStr">
        <is>
          <t xml:space="preserve">In-memory audit queue durability: IAuditQueue.TryEnqueue silently drops the oldest entry on overflow (documented as 'audit is best-effort, never blocks the caller') and PersistBatchAsync's catch block drops the whole failed batch with only a log line — there is no dead-let…</t>
        </is>
      </c>
      <c r="F227" t="inlineStr">
        <is>
          <t xml:space="preserve">Fix – Security</t>
        </is>
      </c>
      <c r="G227" t="inlineStr">
        <is>
          <t xml:space="preserve">Medium</t>
        </is>
      </c>
      <c r="H227" t="inlineStr">
        <is>
          <t xml:space="preserve">Built – audit finding</t>
        </is>
      </c>
      <c r="I227">
        <v>2.0</v>
      </c>
      <c r="J227">
        <v>1.0</v>
      </c>
      <c r="K227">
        <v>3.0</v>
      </c>
      <c r="L227" t="inlineStr">
        <is>
          <t xml:space="preserve">Backlog ref #201 · verdict CONFIRMED</t>
        </is>
      </c>
    </row>
    <row r="228">
      <c r="A228">
        <v>217</v>
      </c>
      <c r="B228" t="inlineStr">
        <is>
          <t xml:space="preserve">Code Audit</t>
        </is>
      </c>
      <c r="C228" t="inlineStr">
        <is>
          <t xml:space="preserve">Background Services &amp; Scheduled Jobs</t>
        </is>
      </c>
      <c r="D228" t="inlineStr">
        <is>
          <t xml:space="preserve">Cross-cutting — job registration at startup</t>
        </is>
      </c>
      <c r="E228" t="inlineStr">
        <is>
          <t xml:space="preserve">Recurring-job registration failure handling: If cron registration itself throws at startup (e.g. Hangfire storage transiently unavailable during a deploy, or TimeZoneInfo.FindSystemTimeZoneById throwing for a bad TimeZoneId), the entire automated pipeline for that job (daily PayU cha…</t>
        </is>
      </c>
      <c r="F228" t="inlineStr">
        <is>
          <t xml:space="preserve">Ops/Config</t>
        </is>
      </c>
      <c r="G228" t="inlineStr">
        <is>
          <t xml:space="preserve">Medium</t>
        </is>
      </c>
      <c r="H228" t="inlineStr">
        <is>
          <t xml:space="preserve">Built – audit finding</t>
        </is>
      </c>
      <c r="I228">
        <v>2.0</v>
      </c>
      <c r="J228">
        <v>1.0</v>
      </c>
      <c r="K228">
        <v>3.0</v>
      </c>
      <c r="L228" t="inlineStr">
        <is>
          <t xml:space="preserve">Backlog ref #202 · verdict CONFIRMED</t>
        </is>
      </c>
    </row>
    <row r="229">
      <c r="A229">
        <v>218</v>
      </c>
      <c r="B229" t="inlineStr">
        <is>
          <t xml:space="preserve">Code Audit</t>
        </is>
      </c>
      <c r="C229" t="inlineStr">
        <is>
          <t xml:space="preserve">Background Services &amp; Scheduled Jobs</t>
        </is>
      </c>
      <c r="D229" t="inlineStr">
        <is>
          <t xml:space="preserve">Events &gt; Event Communications (reminders/feedback/announcements)</t>
        </is>
      </c>
      <c r="E229" t="inlineStr">
        <is>
          <t xml:space="preserve">Daily event-communication dispatcher query scalability: This query has no due-date filtering at the SQL level at all — it loads every non-deleted EventRegistrationPage/Event across every tenant into memory, then applies feedback-due/reminder-due/announcement-due logic in-memory afterward, and i…</t>
        </is>
      </c>
      <c r="F229" t="inlineStr">
        <is>
          <t xml:space="preserve">Fix – Performance</t>
        </is>
      </c>
      <c r="G229" t="inlineStr">
        <is>
          <t xml:space="preserve">Medium</t>
        </is>
      </c>
      <c r="H229" t="inlineStr">
        <is>
          <t xml:space="preserve">Built – audit finding</t>
        </is>
      </c>
      <c r="I229">
        <v>2.0</v>
      </c>
      <c r="J229">
        <v>1.0</v>
      </c>
      <c r="K229">
        <v>3.0</v>
      </c>
      <c r="L229" t="inlineStr">
        <is>
          <t xml:space="preserve">Backlog ref #203 · verdict CONFIRMED</t>
        </is>
      </c>
    </row>
    <row r="230">
      <c r="A230">
        <v>219</v>
      </c>
      <c r="B230" t="inlineStr">
        <is>
          <t xml:space="preserve">Code Audit</t>
        </is>
      </c>
      <c r="C230" t="inlineStr">
        <is>
          <t xml:space="preserve">Background Services &amp; Scheduled Jobs</t>
        </is>
      </c>
      <c r="D230" t="inlineStr">
        <is>
          <t xml:space="preserve">System Settings &gt; Currency / FX</t>
        </is>
      </c>
      <c r="E230" t="inlineStr">
        <is>
          <t xml:space="preserve">OpenExchangeRatesSyncJob missed-run recovery: `GetNextRunTime` only ever returns today-at-4am (if now &lt; 4am) or tomorrow-at-4am (otherwise) — if the app restarts at any time after 4am on a given day (deploy, crash, scale event), that day's sync is permanently skipped with no catch-up…</t>
        </is>
      </c>
      <c r="F230" t="inlineStr">
        <is>
          <t xml:space="preserve">Fix – Currency</t>
        </is>
      </c>
      <c r="G230" t="inlineStr">
        <is>
          <t xml:space="preserve">Medium</t>
        </is>
      </c>
      <c r="H230" t="inlineStr">
        <is>
          <t xml:space="preserve">Built – audit finding</t>
        </is>
      </c>
      <c r="I230">
        <v>2.0</v>
      </c>
      <c r="J230">
        <v>1.0</v>
      </c>
      <c r="K230">
        <v>3.0</v>
      </c>
      <c r="L230" t="inlineStr">
        <is>
          <t xml:space="preserve">Backlog ref #204 · verdict CONFIRMED</t>
        </is>
      </c>
    </row>
    <row r="231">
      <c r="A231">
        <v>220</v>
      </c>
      <c r="B231" t="inlineStr">
        <is>
          <t xml:space="preserve">Code Audit</t>
        </is>
      </c>
      <c r="C231" t="inlineStr">
        <is>
          <t xml:space="preserve">Background Services &amp; Scheduled Jobs</t>
        </is>
      </c>
      <c r="D231" t="inlineStr">
        <is>
          <t xml:space="preserve">System Settings &gt; Currency / FX</t>
        </is>
      </c>
      <c r="E231" t="inlineStr">
        <is>
          <t xml:space="preserve">OpenExchangeRatesSyncJob concurrency safety under horizontal scaling: There is no distributed lock (Hangfire offers one via its storage; this job bypasses Hangfire entirely) coordinating the timer across instances. If the API is horizontally scaled to more than one instance, every instance runs its own ident…</t>
        </is>
      </c>
      <c r="F231" t="inlineStr">
        <is>
          <t xml:space="preserve">Fix</t>
        </is>
      </c>
      <c r="G231" t="inlineStr">
        <is>
          <t xml:space="preserve">Medium</t>
        </is>
      </c>
      <c r="H231" t="inlineStr">
        <is>
          <t xml:space="preserve">Built – audit finding</t>
        </is>
      </c>
      <c r="I231">
        <v>1.5</v>
      </c>
      <c r="J231">
        <v>0.75</v>
      </c>
      <c r="K231">
        <v>2.25</v>
      </c>
      <c r="L231" t="inlineStr">
        <is>
          <t xml:space="preserve">Backlog ref #205 · verdict CONFIRMED</t>
        </is>
      </c>
    </row>
    <row r="232">
      <c r="A232">
        <v>221</v>
      </c>
      <c r="B232" t="inlineStr">
        <is>
          <t xml:space="preserve">Code Audit</t>
        </is>
      </c>
      <c r="C232" t="inlineStr">
        <is>
          <t xml:space="preserve">Case Management</t>
        </is>
      </c>
      <c r="D232" t="inlineStr">
        <is>
          <t xml:space="preserve">Beneficiary Registration</t>
        </is>
      </c>
      <c r="E232" t="inlineStr">
        <is>
          <t xml:space="preserve">Duplicate beneficiary detection: The same person (same national ID) can be registered as a beneficiary multiple times with no duplicate-detection warning or block.</t>
        </is>
      </c>
      <c r="F232" t="inlineStr">
        <is>
          <t xml:space="preserve">Fix</t>
        </is>
      </c>
      <c r="G232" t="inlineStr">
        <is>
          <t xml:space="preserve">Medium</t>
        </is>
      </c>
      <c r="H232" t="inlineStr">
        <is>
          <t xml:space="preserve">Built – audit finding</t>
        </is>
      </c>
      <c r="I232">
        <v>1.5</v>
      </c>
      <c r="J232">
        <v>0.75</v>
      </c>
      <c r="K232">
        <v>2.25</v>
      </c>
      <c r="L232" t="inlineStr">
        <is>
          <t xml:space="preserve">Backlog ref #206 · verdict CONFIRMED</t>
        </is>
      </c>
    </row>
    <row r="233">
      <c r="A233">
        <v>222</v>
      </c>
      <c r="B233" t="inlineStr">
        <is>
          <t xml:space="preserve">Code Audit</t>
        </is>
      </c>
      <c r="C233" t="inlineStr">
        <is>
          <t xml:space="preserve">Case Management</t>
        </is>
      </c>
      <c r="D233" t="inlineStr">
        <is>
          <t xml:space="preserve">Case creation / Program linkage</t>
        </is>
      </c>
      <c r="E233" t="inlineStr">
        <is>
          <t xml:space="preserve">Program lifecycle gate on Case creation: CreateCase.cs never checks that the linked Program.StatusId is ACTIVE - a case (and therefore later disbursements against that program's funding pool) can be opened against a Program still in DRAFT, PENDINGAPPROVAL, PAUSED, or even COMPLET…</t>
        </is>
      </c>
      <c r="F233" t="inlineStr">
        <is>
          <t xml:space="preserve">Fix – Business Logic</t>
        </is>
      </c>
      <c r="G233" t="inlineStr">
        <is>
          <t xml:space="preserve">Medium</t>
        </is>
      </c>
      <c r="H233" t="inlineStr">
        <is>
          <t xml:space="preserve">Built – audit finding</t>
        </is>
      </c>
      <c r="I233">
        <v>2.0</v>
      </c>
      <c r="J233">
        <v>1.0</v>
      </c>
      <c r="K233">
        <v>3.0</v>
      </c>
      <c r="L233" t="inlineStr">
        <is>
          <t xml:space="preserve">Backlog ref #207 · verdict CONFIRMED</t>
        </is>
      </c>
    </row>
    <row r="234">
      <c r="A234">
        <v>223</v>
      </c>
      <c r="B234" t="inlineStr">
        <is>
          <t xml:space="preserve">Code Audit</t>
        </is>
      </c>
      <c r="C234" t="inlineStr">
        <is>
          <t xml:space="preserve">Case Management</t>
        </is>
      </c>
      <c r="D234" t="inlineStr">
        <is>
          <t xml:space="preserve">Case List (all cases query)</t>
        </is>
      </c>
      <c r="E234" t="inlineStr">
        <is>
          <t xml:space="preserve">Row-level branch/staff scoping on case listing: There is no server-enforced default restriction limiting a caseworker to their own branch or caseload; myCasesOnly/branchId are opt-in query parameters the FE may or may not send. Any user holding Case Read permission for the tenant can re…</t>
        </is>
      </c>
      <c r="F234" t="inlineStr">
        <is>
          <t xml:space="preserve">Fix – Security</t>
        </is>
      </c>
      <c r="G234" t="inlineStr">
        <is>
          <t xml:space="preserve">Medium</t>
        </is>
      </c>
      <c r="H234" t="inlineStr">
        <is>
          <t xml:space="preserve">Built – audit finding</t>
        </is>
      </c>
      <c r="I234">
        <v>2.0</v>
      </c>
      <c r="J234">
        <v>1.0</v>
      </c>
      <c r="K234">
        <v>3.0</v>
      </c>
      <c r="L234" t="inlineStr">
        <is>
          <t xml:space="preserve">Backlog ref #208 · verdict CONFIRMED</t>
        </is>
      </c>
    </row>
    <row r="235">
      <c r="A235">
        <v>224</v>
      </c>
      <c r="B235" t="inlineStr">
        <is>
          <t xml:space="preserve">Code Audit</t>
        </is>
      </c>
      <c r="C235" t="inlineStr">
        <is>
          <t xml:space="preserve">Case Management</t>
        </is>
      </c>
      <c r="D235" t="inlineStr">
        <is>
          <t xml:space="preserve">Case Service Log</t>
        </is>
      </c>
      <c r="E235" t="inlineStr">
        <is>
          <t xml:space="preserve">Disbursement against a closed case: Neither CreateBeneficiaryServiceLog.cs nor UpdateBeneficiaryServiceLog.cs loads the referenced Case or checks its StatusId/IsActive - a service log (real disbursement) can be created or edited against a case that is already CLOSED.</t>
        </is>
      </c>
      <c r="F235" t="inlineStr">
        <is>
          <t xml:space="preserve">Fix – Business Logic</t>
        </is>
      </c>
      <c r="G235" t="inlineStr">
        <is>
          <t xml:space="preserve">Medium</t>
        </is>
      </c>
      <c r="H235" t="inlineStr">
        <is>
          <t xml:space="preserve">Built – audit finding</t>
        </is>
      </c>
      <c r="I235">
        <v>2.0</v>
      </c>
      <c r="J235">
        <v>1.0</v>
      </c>
      <c r="K235">
        <v>3.0</v>
      </c>
      <c r="L235" t="inlineStr">
        <is>
          <t xml:space="preserve">Backlog ref #209 · verdict CONFIRMED</t>
        </is>
      </c>
    </row>
    <row r="236">
      <c r="A236">
        <v>225</v>
      </c>
      <c r="B236" t="inlineStr">
        <is>
          <t xml:space="preserve">Code Audit</t>
        </is>
      </c>
      <c r="C236" t="inlineStr">
        <is>
          <t xml:space="preserve">Case Management</t>
        </is>
      </c>
      <c r="D236" t="inlineStr">
        <is>
          <t xml:space="preserve">Case Service Log (disbursements)</t>
        </is>
      </c>
      <c r="E236" t="inlineStr">
        <is>
          <t xml:space="preserve">Maker-checker / second approval on disbursement writes: Unlike Program's own approval lifecycle (Submit -&gt; Approve/Reject with SubmittedByStaffId/ApprovedByStaffId audit trail) and unlike Grant's funder-communication approvals, an actual money-movement action - creating or editing a beneficiary…</t>
        </is>
      </c>
      <c r="F236" t="inlineStr">
        <is>
          <t xml:space="preserve">Fix – Security</t>
        </is>
      </c>
      <c r="G236" t="inlineStr">
        <is>
          <t xml:space="preserve">Medium</t>
        </is>
      </c>
      <c r="H236" t="inlineStr">
        <is>
          <t xml:space="preserve">Built – audit finding</t>
        </is>
      </c>
      <c r="I236">
        <v>2.0</v>
      </c>
      <c r="J236">
        <v>1.0</v>
      </c>
      <c r="K236">
        <v>3.0</v>
      </c>
      <c r="L236" t="inlineStr">
        <is>
          <t xml:space="preserve">Backlog ref #210 · verdict CONFIRMED</t>
        </is>
      </c>
    </row>
    <row r="237">
      <c r="A237">
        <v>226</v>
      </c>
      <c r="B237" t="inlineStr">
        <is>
          <t xml:space="preserve">Code Audit</t>
        </is>
      </c>
      <c r="C237" t="inlineStr">
        <is>
          <t xml:space="preserve">Case Management</t>
        </is>
      </c>
      <c r="D237" t="inlineStr">
        <is>
          <t xml:space="preserve">Case Service Log / Beneficiary money fields</t>
        </is>
      </c>
      <c r="E237" t="inlineStr">
        <is>
          <t xml:space="preserve">Currency field missing on BeneficiaryServiceLog: A disbursement row carries no explicit record of what currency its AmountCents actually represents; the currency is only implicitly assumed to match whatever the program/source happens to be configured with at read time, with no snapshot a…</t>
        </is>
      </c>
      <c r="F237" t="inlineStr">
        <is>
          <t xml:space="preserve">Fix – Data Integrity</t>
        </is>
      </c>
      <c r="G237" t="inlineStr">
        <is>
          <t xml:space="preserve">Medium</t>
        </is>
      </c>
      <c r="H237" t="inlineStr">
        <is>
          <t xml:space="preserve">Built – audit finding</t>
        </is>
      </c>
      <c r="I237">
        <v>2.0</v>
      </c>
      <c r="J237">
        <v>1.0</v>
      </c>
      <c r="K237">
        <v>3.0</v>
      </c>
      <c r="L237" t="inlineStr">
        <is>
          <t xml:space="preserve">Backlog ref #211 · verdict CONFIRMED</t>
        </is>
      </c>
    </row>
    <row r="238">
      <c r="A238">
        <v>227</v>
      </c>
      <c r="B238" t="inlineStr">
        <is>
          <t xml:space="preserve">Code Audit</t>
        </is>
      </c>
      <c r="C238" t="inlineStr">
        <is>
          <t xml:space="preserve">Case Management</t>
        </is>
      </c>
      <c r="D238" t="inlineStr">
        <is>
          <t xml:space="preserve">Program Fund Allocation (frontend)</t>
        </is>
      </c>
      <c r="E238" t="inlineStr">
        <is>
          <t xml:space="preserve">Currency display for mixed-currency funding sources: When funding sources have differing currencies, the page presents one blended, mislabeled currency total with no visual warning that a currency mismatch exists across sources.</t>
        </is>
      </c>
      <c r="F238" t="inlineStr">
        <is>
          <t xml:space="preserve">Fix – UI/UX</t>
        </is>
      </c>
      <c r="G238" t="inlineStr">
        <is>
          <t xml:space="preserve">Medium</t>
        </is>
      </c>
      <c r="H238" t="inlineStr">
        <is>
          <t xml:space="preserve">Built – audit finding</t>
        </is>
      </c>
      <c r="I238">
        <v>1.0</v>
      </c>
      <c r="J238">
        <v>0.5</v>
      </c>
      <c r="K238">
        <v>1.5</v>
      </c>
      <c r="L238" t="inlineStr">
        <is>
          <t xml:space="preserve">Backlog ref #212 · verdict CONFIRMED</t>
        </is>
      </c>
    </row>
    <row r="239">
      <c r="A239">
        <v>228</v>
      </c>
      <c r="B239" t="inlineStr">
        <is>
          <t xml:space="preserve">Code Audit</t>
        </is>
      </c>
      <c r="C239" t="inlineStr">
        <is>
          <t xml:space="preserve">Communication</t>
        </is>
      </c>
      <c r="D239" t="inlineStr">
        <is>
          <t xml:space="preserve">Email SendJob (SavedFilter/Segment-targeted campaigns)</t>
        </is>
      </c>
      <c r="E239" t="inlineStr">
        <is>
          <t xml:space="preserve">Recipient filter resolution error handling: A corrupted or incompatible FilterJson (e.g. from a schema change or manual edit) causes the job to silently broadcast to the entire unfiltered recipient set instead of erroring out, with only a swallowed exception and no operator-visible…</t>
        </is>
      </c>
      <c r="F239" t="inlineStr">
        <is>
          <t xml:space="preserve">Testing</t>
        </is>
      </c>
      <c r="G239" t="inlineStr">
        <is>
          <t xml:space="preserve">Medium</t>
        </is>
      </c>
      <c r="H239" t="inlineStr">
        <is>
          <t xml:space="preserve">Built – audit finding</t>
        </is>
      </c>
      <c r="I239">
        <v>2.5</v>
      </c>
      <c r="J239">
        <v>1.25</v>
      </c>
      <c r="K239">
        <v>3.75</v>
      </c>
      <c r="L239" t="inlineStr">
        <is>
          <t xml:space="preserve">Backlog ref #213 · verdict CONFIRMED</t>
        </is>
      </c>
    </row>
    <row r="240">
      <c r="A240">
        <v>229</v>
      </c>
      <c r="B240" t="inlineStr">
        <is>
          <t xml:space="preserve">Code Audit</t>
        </is>
      </c>
      <c r="C240" t="inlineStr">
        <is>
          <t xml:space="preserve">Communication</t>
        </is>
      </c>
      <c r="D240" t="inlineStr">
        <is>
          <t xml:space="preserve">Email SendJob status reporting</t>
        </is>
      </c>
      <c r="E240" t="inlineStr">
        <is>
          <t xml:space="preserve">Job completion status granularity: A job that fails for 400 of 1,000 recipients is reported with the exact same 'Completed' status as one that succeeded for all 1,000 — there is no distinct 'Completed with errors' state surfaced at the job level.</t>
        </is>
      </c>
      <c r="F240" t="inlineStr">
        <is>
          <t xml:space="preserve">Fix</t>
        </is>
      </c>
      <c r="G240" t="inlineStr">
        <is>
          <t xml:space="preserve">Medium</t>
        </is>
      </c>
      <c r="H240" t="inlineStr">
        <is>
          <t xml:space="preserve">Built – audit finding</t>
        </is>
      </c>
      <c r="I240">
        <v>1.5</v>
      </c>
      <c r="J240">
        <v>0.75</v>
      </c>
      <c r="K240">
        <v>2.25</v>
      </c>
      <c r="L240" t="inlineStr">
        <is>
          <t xml:space="preserve">Backlog ref #214 · verdict CONFIRMED</t>
        </is>
      </c>
    </row>
    <row r="241">
      <c r="A241">
        <v>230</v>
      </c>
      <c r="B241" t="inlineStr">
        <is>
          <t xml:space="preserve">Code Audit</t>
        </is>
      </c>
      <c r="C241" t="inlineStr">
        <is>
          <t xml:space="preserve">Communication</t>
        </is>
      </c>
      <c r="D241" t="inlineStr">
        <is>
          <t xml:space="preserve">Email Template placeholders (system placeholders: CURRENTDATE/CURRENTTIME)</t>
        </is>
      </c>
      <c r="E241" t="inlineStr">
        <is>
          <t xml:space="preserve">Timezone correctness in customer-facing content: This contradicts the project's own convention that all stored dates are UTC and must be converted per-tenant timezone before display; here the value shown to the *recipient* is simply the application server's local clock, not the tenant's…</t>
        </is>
      </c>
      <c r="F241" t="inlineStr">
        <is>
          <t xml:space="preserve">Fix – Business Logic</t>
        </is>
      </c>
      <c r="G241" t="inlineStr">
        <is>
          <t xml:space="preserve">Medium</t>
        </is>
      </c>
      <c r="H241" t="inlineStr">
        <is>
          <t xml:space="preserve">Built – audit finding</t>
        </is>
      </c>
      <c r="I241">
        <v>2.0</v>
      </c>
      <c r="J241">
        <v>1.0</v>
      </c>
      <c r="K241">
        <v>3.0</v>
      </c>
      <c r="L241" t="inlineStr">
        <is>
          <t xml:space="preserve">Backlog ref #215 · verdict CONFIRMED</t>
        </is>
      </c>
    </row>
    <row r="242">
      <c r="A242">
        <v>231</v>
      </c>
      <c r="B242" t="inlineStr">
        <is>
          <t xml:space="preserve">Code Audit</t>
        </is>
      </c>
      <c r="C242" t="inlineStr">
        <is>
          <t xml:space="preserve">Communication</t>
        </is>
      </c>
      <c r="D242" t="inlineStr">
        <is>
          <t xml:space="preserve">Email Template rendering (all campaign/notification email bodies)</t>
        </is>
      </c>
      <c r="E242" t="inlineStr">
        <is>
          <t xml:space="preserve">Placeholder substitution / content injection: Any Contact-controlled field used as a placeholder (e.g. DisplayName, custom fields) that contains HTML/script-like characters is injected verbatim into the outbound HTML email body.</t>
        </is>
      </c>
      <c r="F242" t="inlineStr">
        <is>
          <t xml:space="preserve">Fix – Security</t>
        </is>
      </c>
      <c r="G242" t="inlineStr">
        <is>
          <t xml:space="preserve">Medium</t>
        </is>
      </c>
      <c r="H242" t="inlineStr">
        <is>
          <t xml:space="preserve">Built – audit finding</t>
        </is>
      </c>
      <c r="I242">
        <v>2.0</v>
      </c>
      <c r="J242">
        <v>1.0</v>
      </c>
      <c r="K242">
        <v>3.0</v>
      </c>
      <c r="L242" t="inlineStr">
        <is>
          <t xml:space="preserve">Backlog ref #216 · verdict CONFIRMED</t>
        </is>
      </c>
    </row>
    <row r="243">
      <c r="A243">
        <v>232</v>
      </c>
      <c r="B243" t="inlineStr">
        <is>
          <t xml:space="preserve">Code Audit</t>
        </is>
      </c>
      <c r="C243" t="inlineStr">
        <is>
          <t xml:space="preserve">Communication</t>
        </is>
      </c>
      <c r="D243" t="inlineStr">
        <is>
          <t xml:space="preserve">SendGrid bulk email dispatch (all campaign email at scale)</t>
        </is>
      </c>
      <c r="E243" t="inlineStr">
        <is>
          <t xml:space="preserve">Outbound send throttling: There is no throttle/backoff between outbound SendGrid API calls; at scale this can produce thousands of near-simultaneous API requests, which is a common trigger for provider-side 429 rate-limiting, and there is no retry-after handling fo…</t>
        </is>
      </c>
      <c r="F243" t="inlineStr">
        <is>
          <t xml:space="preserve">Fix – Performance</t>
        </is>
      </c>
      <c r="G243" t="inlineStr">
        <is>
          <t xml:space="preserve">Medium</t>
        </is>
      </c>
      <c r="H243" t="inlineStr">
        <is>
          <t xml:space="preserve">Built – audit finding</t>
        </is>
      </c>
      <c r="I243">
        <v>2.0</v>
      </c>
      <c r="J243">
        <v>1.0</v>
      </c>
      <c r="K243">
        <v>3.0</v>
      </c>
      <c r="L243" t="inlineStr">
        <is>
          <t xml:space="preserve">Backlog ref #217 · verdict CONFIRMED</t>
        </is>
      </c>
    </row>
    <row r="244">
      <c r="A244">
        <v>233</v>
      </c>
      <c r="B244" t="inlineStr">
        <is>
          <t xml:space="preserve">Code Audit</t>
        </is>
      </c>
      <c r="C244" t="inlineStr">
        <is>
          <t xml:space="preserve">Contacts / CRM</t>
        </is>
      </c>
      <c r="D244" t="inlineStr">
        <is>
          <t xml:space="preserve">Contact (UPI / payment details tab)</t>
        </is>
      </c>
      <c r="E244" t="inlineStr">
        <is>
          <t xml:space="preserve">ContactUPIDetail — PII/financial data exposure: A payment identifier tied to a real bank/UPI account is stored and served in cleartext with no masking (contrast with the project's own standard 'sensitive fields masked + write-only' pattern for CONFIG screens per project convention), and…</t>
        </is>
      </c>
      <c r="F244" t="inlineStr">
        <is>
          <t xml:space="preserve">Fix – Security</t>
        </is>
      </c>
      <c r="G244" t="inlineStr">
        <is>
          <t xml:space="preserve">Medium</t>
        </is>
      </c>
      <c r="H244" t="inlineStr">
        <is>
          <t xml:space="preserve">Built – audit finding</t>
        </is>
      </c>
      <c r="I244">
        <v>2.0</v>
      </c>
      <c r="J244">
        <v>1.0</v>
      </c>
      <c r="K244">
        <v>3.0</v>
      </c>
      <c r="L244" t="inlineStr">
        <is>
          <t xml:space="preserve">Backlog ref #218 · verdict CONFIRMED</t>
        </is>
      </c>
    </row>
    <row r="245">
      <c r="A245">
        <v>234</v>
      </c>
      <c r="B245" t="inlineStr">
        <is>
          <t xml:space="preserve">Code Audit</t>
        </is>
      </c>
      <c r="C245" t="inlineStr">
        <is>
          <t xml:space="preserve">Contacts / CRM</t>
        </is>
      </c>
      <c r="D245" t="inlineStr">
        <is>
          <t xml:space="preserve">Contact Import</t>
        </is>
      </c>
      <c r="E245" t="inlineStr">
        <is>
          <t xml:space="preserve">Duplicate detection during import validation: The match is case-sensitive, exact-string only — no normalization (trimming, case-folding, removing punctuation/hyphens) like the separate dedup engine's fn_detect_duplicate_contacts uses (REPLACE-based name normalization). It also only ma…</t>
        </is>
      </c>
      <c r="F245" t="inlineStr">
        <is>
          <t xml:space="preserve">Testing</t>
        </is>
      </c>
      <c r="G245" t="inlineStr">
        <is>
          <t xml:space="preserve">Medium</t>
        </is>
      </c>
      <c r="H245" t="inlineStr">
        <is>
          <t xml:space="preserve">Built – audit finding</t>
        </is>
      </c>
      <c r="I245">
        <v>2.5</v>
      </c>
      <c r="J245">
        <v>1.25</v>
      </c>
      <c r="K245">
        <v>3.75</v>
      </c>
      <c r="L245" t="inlineStr">
        <is>
          <t xml:space="preserve">Backlog ref #219 · verdict CONFIRMED</t>
        </is>
      </c>
    </row>
    <row r="246">
      <c r="A246">
        <v>235</v>
      </c>
      <c r="B246" t="inlineStr">
        <is>
          <t xml:space="preserve">Code Audit</t>
        </is>
      </c>
      <c r="C246" t="inlineStr">
        <is>
          <t xml:space="preserve">Contacts / CRM</t>
        </is>
      </c>
      <c r="D246" t="inlineStr">
        <is>
          <t xml:space="preserve">Contact Source</t>
        </is>
      </c>
      <c r="E246" t="inlineStr">
        <is>
          <t xml:space="preserve">MergeContactSources — tenant ownership check: Neither `source` nor `target` is ever checked against `cid` (the caller's own tenant). As long as the two ContactSourceIds belong to the SAME company as each other (even if that company is NOT the caller's), the merge proceeds and reassign…</t>
        </is>
      </c>
      <c r="F246" t="inlineStr">
        <is>
          <t xml:space="preserve">Fix</t>
        </is>
      </c>
      <c r="G246" t="inlineStr">
        <is>
          <t xml:space="preserve">Medium</t>
        </is>
      </c>
      <c r="H246" t="inlineStr">
        <is>
          <t xml:space="preserve">Built – audit finding</t>
        </is>
      </c>
      <c r="I246">
        <v>1.5</v>
      </c>
      <c r="J246">
        <v>0.75</v>
      </c>
      <c r="K246">
        <v>2.25</v>
      </c>
      <c r="L246" t="inlineStr">
        <is>
          <t xml:space="preserve">Backlog ref #220 · verdict CONFIRMED</t>
        </is>
      </c>
    </row>
    <row r="247">
      <c r="A247">
        <v>236</v>
      </c>
      <c r="B247" t="inlineStr">
        <is>
          <t xml:space="preserve">Code Audit</t>
        </is>
      </c>
      <c r="C247" t="inlineStr">
        <is>
          <t xml:space="preserve">Contacts / CRM</t>
        </is>
      </c>
      <c r="D247" t="inlineStr">
        <is>
          <t xml:space="preserve">Duplicate Detection</t>
        </is>
      </c>
      <c r="E247" t="inlineStr">
        <is>
          <t xml:space="preserve">DetectDuplicateContacts — category count reporting: The SQL function's RETURNS TABLE signature computes real per-category counts (v_cat1_count/v_cat2_count/v_cat3_count per the commented-out source), but the C# handler never captures the function's result rows — it discards them and fabrica…</t>
        </is>
      </c>
      <c r="F247" t="inlineStr">
        <is>
          <t xml:space="preserve">Fix</t>
        </is>
      </c>
      <c r="G247" t="inlineStr">
        <is>
          <t xml:space="preserve">Medium</t>
        </is>
      </c>
      <c r="H247" t="inlineStr">
        <is>
          <t xml:space="preserve">Built – audit finding</t>
        </is>
      </c>
      <c r="I247">
        <v>1.5</v>
      </c>
      <c r="J247">
        <v>0.75</v>
      </c>
      <c r="K247">
        <v>2.25</v>
      </c>
      <c r="L247" t="inlineStr">
        <is>
          <t xml:space="preserve">Backlog ref #221 · verdict CONFIRMED</t>
        </is>
      </c>
    </row>
    <row r="248">
      <c r="A248">
        <v>237</v>
      </c>
      <c r="B248" t="inlineStr">
        <is>
          <t xml:space="preserve">Code Audit</t>
        </is>
      </c>
      <c r="C248" t="inlineStr">
        <is>
          <t xml:space="preserve">Currency / FX / Decimal / Timezone</t>
        </is>
      </c>
      <c r="D248" t="inlineStr">
        <is>
          <t xml:space="preserve">Ambassador Collection Distribution</t>
        </is>
      </c>
      <c r="E248" t="inlineStr">
        <is>
          <t xml:space="preserve">Ambassador collection distribution currency snapshot: Same dead-field pattern as the Membership finding above: the Ambassador distribution model carries an ExchangeRate column that no command/handler in the Ambassador feature area ever populates or reads.</t>
        </is>
      </c>
      <c r="F248" t="inlineStr">
        <is>
          <t xml:space="preserve">Fix – Currency</t>
        </is>
      </c>
      <c r="G248" t="inlineStr">
        <is>
          <t xml:space="preserve">Medium</t>
        </is>
      </c>
      <c r="H248" t="inlineStr">
        <is>
          <t xml:space="preserve">Built – audit finding</t>
        </is>
      </c>
      <c r="I248">
        <v>2.0</v>
      </c>
      <c r="J248">
        <v>1.0</v>
      </c>
      <c r="K248">
        <v>3.0</v>
      </c>
      <c r="L248" t="inlineStr">
        <is>
          <t xml:space="preserve">Backlog ref #222 · verdict CONFIRMED</t>
        </is>
      </c>
    </row>
    <row r="249">
      <c r="A249">
        <v>238</v>
      </c>
      <c r="B249" t="inlineStr">
        <is>
          <t xml:space="preserve">Code Audit</t>
        </is>
      </c>
      <c r="C249" t="inlineStr">
        <is>
          <t xml:space="preserve">Currency / FX / Decimal / Timezone</t>
        </is>
      </c>
      <c r="D249" t="inlineStr">
        <is>
          <t xml:space="preserve">Contact Profile — Donation History tab</t>
        </is>
      </c>
      <c r="E249" t="inlineStr">
        <is>
          <t xml:space="preserve">Donation amount display in Contact's donation history detail dialog: The screen Pending.txt item 1 explicitly names ('contact and amount displayed areas') as still needing full currency-handling coverage is confirmed still on the old ad-hoc formatting pattern rather than the canonical companySettingsFormatt…</t>
        </is>
      </c>
      <c r="F249" t="inlineStr">
        <is>
          <t xml:space="preserve">Fix – Currency</t>
        </is>
      </c>
      <c r="G249" t="inlineStr">
        <is>
          <t xml:space="preserve">Medium</t>
        </is>
      </c>
      <c r="H249" t="inlineStr">
        <is>
          <t xml:space="preserve">Built – audit finding</t>
        </is>
      </c>
      <c r="I249">
        <v>2.0</v>
      </c>
      <c r="J249">
        <v>1.0</v>
      </c>
      <c r="K249">
        <v>3.0</v>
      </c>
      <c r="L249" t="inlineStr">
        <is>
          <t xml:space="preserve">Backlog ref #223 · verdict CONFIRMED</t>
        </is>
      </c>
    </row>
    <row r="250">
      <c r="A250">
        <v>239</v>
      </c>
      <c r="B250" t="inlineStr">
        <is>
          <t xml:space="preserve">Code Audit</t>
        </is>
      </c>
      <c r="C250" t="inlineStr">
        <is>
          <t xml:space="preserve">Currency / FX / Decimal / Timezone</t>
        </is>
      </c>
      <c r="D250" t="inlineStr">
        <is>
          <t xml:space="preserve">Event Analytics Dashboard widgets (Revenue Total KPI, ROI Table, Revenue Breakd…</t>
        </is>
      </c>
      <c r="E250" t="inlineStr">
        <is>
          <t xml:space="preserve">Per-widget currency amount display: Every event-analytics widget displays amounts labeled with the tenant's base currency regardless of what currency the underlying aggregated figure (e.g., event ticket revenue, ROI) is actually denominated in at the row level.</t>
        </is>
      </c>
      <c r="F250" t="inlineStr">
        <is>
          <t xml:space="preserve">Fix – Currency</t>
        </is>
      </c>
      <c r="G250" t="inlineStr">
        <is>
          <t xml:space="preserve">Medium</t>
        </is>
      </c>
      <c r="H250" t="inlineStr">
        <is>
          <t xml:space="preserve">Built – audit finding</t>
        </is>
      </c>
      <c r="I250">
        <v>2.0</v>
      </c>
      <c r="J250">
        <v>1.0</v>
      </c>
      <c r="K250">
        <v>3.0</v>
      </c>
      <c r="L250" t="inlineStr">
        <is>
          <t xml:space="preserve">Backlog ref #224 · verdict CONFIRMED</t>
        </is>
      </c>
    </row>
    <row r="251">
      <c r="A251">
        <v>240</v>
      </c>
      <c r="B251" t="inlineStr">
        <is>
          <t xml:space="preserve">Code Audit</t>
        </is>
      </c>
      <c r="C251" t="inlineStr">
        <is>
          <t xml:space="preserve">Currency / FX / Decimal / Timezone</t>
        </is>
      </c>
      <c r="D251" t="inlineStr">
        <is>
          <t xml:space="preserve">Membership — Manual/Webhook Renewal payment transaction recording</t>
        </is>
      </c>
      <c r="E251" t="inlineStr">
        <is>
          <t xml:space="preserve">Membership payment transaction currency snapshot: The Membership module has a modeled ExchangeRate field for its payment transactions (mirroring the pattern used correctly by GlobalDonation and Grant flows) but it is entirely unwired — never populated on create, so it is always null.</t>
        </is>
      </c>
      <c r="F251" t="inlineStr">
        <is>
          <t xml:space="preserve">Fix – Currency</t>
        </is>
      </c>
      <c r="G251" t="inlineStr">
        <is>
          <t xml:space="preserve">Medium</t>
        </is>
      </c>
      <c r="H251" t="inlineStr">
        <is>
          <t xml:space="preserve">Built – audit finding</t>
        </is>
      </c>
      <c r="I251">
        <v>2.0</v>
      </c>
      <c r="J251">
        <v>1.0</v>
      </c>
      <c r="K251">
        <v>3.0</v>
      </c>
      <c r="L251" t="inlineStr">
        <is>
          <t xml:space="preserve">Backlog ref #225 · verdict CONFIRMED</t>
        </is>
      </c>
    </row>
    <row r="252">
      <c r="A252">
        <v>241</v>
      </c>
      <c r="B252" t="inlineStr">
        <is>
          <t xml:space="preserve">Code Audit</t>
        </is>
      </c>
      <c r="C252" t="inlineStr">
        <is>
          <t xml:space="preserve">Currency / FX / Decimal / Timezone</t>
        </is>
      </c>
      <c r="D252" t="inlineStr">
        <is>
          <t xml:space="preserve">Public CrowdFund Donate Form (public/crowdfundingpage/donate-form.tsx)</t>
        </is>
      </c>
      <c r="E252" t="inlineStr">
        <is>
          <t xml:space="preserve">Donor-facing amount display + payment gateway drop-in wallet-button amount: The FE display and Braintree-Dropin wallet-button amount formatters are not currency-decimal-aware (always force either 0 or 2 fraction digits regardless of the currency's real minor-unit convention), but the actual money movement is NOT d…</t>
        </is>
      </c>
      <c r="F252" t="inlineStr">
        <is>
          <t xml:space="preserve">Fix – UI/UX</t>
        </is>
      </c>
      <c r="G252" t="inlineStr">
        <is>
          <t xml:space="preserve">Medium</t>
        </is>
      </c>
      <c r="H252" t="inlineStr">
        <is>
          <t xml:space="preserve">Built – audit finding</t>
        </is>
      </c>
      <c r="I252">
        <v>1.0</v>
      </c>
      <c r="J252">
        <v>0.5</v>
      </c>
      <c r="K252">
        <v>1.5</v>
      </c>
      <c r="L252" t="inlineStr">
        <is>
          <t xml:space="preserve">Backlog ref #226 · verdict ADJUSTED</t>
        </is>
      </c>
    </row>
    <row r="253">
      <c r="A253">
        <v>242</v>
      </c>
      <c r="B253" t="inlineStr">
        <is>
          <t xml:space="preserve">Code Audit</t>
        </is>
      </c>
      <c r="C253" t="inlineStr">
        <is>
          <t xml:space="preserve">Currency / FX / Decimal / Timezone</t>
        </is>
      </c>
      <c r="D253" t="inlineStr">
        <is>
          <t xml:space="preserve">Public P2P Campaign Page — donor-facing templates</t>
        </is>
      </c>
      <c r="E253" t="inlineStr">
        <is>
          <t xml:space="preserve">Donation amount display on public fundraiser page: A second, independent, divergent currency formatter exists on the public donor-facing P2P page, diverging from the canonical companySettingsFormatters.ts in both decimal precision (hardcoded 0) and default-currency fallback (hardcoded USD…</t>
        </is>
      </c>
      <c r="F253" t="inlineStr">
        <is>
          <t xml:space="preserve">Fix – Currency</t>
        </is>
      </c>
      <c r="G253" t="inlineStr">
        <is>
          <t xml:space="preserve">Medium</t>
        </is>
      </c>
      <c r="H253" t="inlineStr">
        <is>
          <t xml:space="preserve">Built – audit finding</t>
        </is>
      </c>
      <c r="I253">
        <v>2.0</v>
      </c>
      <c r="J253">
        <v>1.0</v>
      </c>
      <c r="K253">
        <v>3.0</v>
      </c>
      <c r="L253" t="inlineStr">
        <is>
          <t xml:space="preserve">Backlog ref #227 · verdict CONFIRMED</t>
        </is>
      </c>
    </row>
    <row r="254">
      <c r="A254">
        <v>243</v>
      </c>
      <c r="B254" t="inlineStr">
        <is>
          <t xml:space="preserve">Code Audit</t>
        </is>
      </c>
      <c r="C254" t="inlineStr">
        <is>
          <t xml:space="preserve">Currency / FX / Decimal / Timezone</t>
        </is>
      </c>
      <c r="D254" t="inlineStr">
        <is>
          <t xml:space="preserve">Volunteer Hour Log — Create / Update / Log-and-Approve / Summary / Aggregate-by…</t>
        </is>
      </c>
      <c r="E254" t="inlineStr">
        <is>
          <t xml:space="preserve">Date boundary computation for hour-log validation and aggregation: Five files in the Volunteer Hour Log feature repeat the same server-local-time pattern that the Ambassador Collection module's own summary query documents as incorrect for a Postgres timestamptz-backed system.</t>
        </is>
      </c>
      <c r="F254" t="inlineStr">
        <is>
          <t xml:space="preserve">Fix</t>
        </is>
      </c>
      <c r="G254" t="inlineStr">
        <is>
          <t xml:space="preserve">Medium</t>
        </is>
      </c>
      <c r="H254" t="inlineStr">
        <is>
          <t xml:space="preserve">Built – audit finding</t>
        </is>
      </c>
      <c r="I254">
        <v>1.5</v>
      </c>
      <c r="J254">
        <v>0.75</v>
      </c>
      <c r="K254">
        <v>2.25</v>
      </c>
      <c r="L254" t="inlineStr">
        <is>
          <t xml:space="preserve">Backlog ref #228 · verdict CONFIRMED</t>
        </is>
      </c>
    </row>
    <row r="255">
      <c r="A255">
        <v>244</v>
      </c>
      <c r="B255" t="inlineStr">
        <is>
          <t xml:space="preserve">Code Audit</t>
        </is>
      </c>
      <c r="C255" t="inlineStr">
        <is>
          <t xml:space="preserve">Data Consistency &amp; Concurrency</t>
        </is>
      </c>
      <c r="D255" t="inlineStr">
        <is>
          <t xml:space="preserve">Online Donation Page / CrowdFund — Promotion Pipeline</t>
        </is>
      </c>
      <c r="E255" t="inlineStr">
        <is>
          <t xml:space="preserve">PromoteOnlineDonationStaging — Contact Auto-Create: ContactEmailAddress's uniqueness is enforced only per-existing-contact (unique on (CompanyId, ContactId, Email)), which guarantees a single contact can't have the same email twice — it does NOT prevent two different Contact rows from both…</t>
        </is>
      </c>
      <c r="F255" t="inlineStr">
        <is>
          <t xml:space="preserve">Fix – Data Integrity</t>
        </is>
      </c>
      <c r="G255" t="inlineStr">
        <is>
          <t xml:space="preserve">Medium</t>
        </is>
      </c>
      <c r="H255" t="inlineStr">
        <is>
          <t xml:space="preserve">Built – audit finding</t>
        </is>
      </c>
      <c r="I255">
        <v>2.0</v>
      </c>
      <c r="J255">
        <v>1.0</v>
      </c>
      <c r="K255">
        <v>3.0</v>
      </c>
      <c r="L255" t="inlineStr">
        <is>
          <t xml:space="preserve">Backlog ref #229 · verdict CONFIRMED</t>
        </is>
      </c>
    </row>
    <row r="256">
      <c r="A256">
        <v>245</v>
      </c>
      <c r="B256" t="inlineStr">
        <is>
          <t xml:space="preserve">Code Audit</t>
        </is>
      </c>
      <c r="C256" t="inlineStr">
        <is>
          <t xml:space="preserve">Data Consistency &amp; Concurrency</t>
        </is>
      </c>
      <c r="D256" t="inlineStr">
        <is>
          <t xml:space="preserve">Online Donation Page / CrowdFund — Promotion Pipeline</t>
        </is>
      </c>
      <c r="E256" t="inlineStr">
        <is>
          <t xml:space="preserve">PromoteOnlineDonationStaging — Cross-Aggregate Write Split: The write to the GlobalDonation aggregate and the write marking the staging row as 'promoted' are not one atomic transaction — there is a real (if narrow and partially mitigated) window between the two SaveChanges calls where a GlobalDonat…</t>
        </is>
      </c>
      <c r="F256" t="inlineStr">
        <is>
          <t xml:space="preserve">Fix – Data Integrity</t>
        </is>
      </c>
      <c r="G256" t="inlineStr">
        <is>
          <t xml:space="preserve">Medium</t>
        </is>
      </c>
      <c r="H256" t="inlineStr">
        <is>
          <t xml:space="preserve">Built – audit finding</t>
        </is>
      </c>
      <c r="I256">
        <v>2.0</v>
      </c>
      <c r="J256">
        <v>1.0</v>
      </c>
      <c r="K256">
        <v>3.0</v>
      </c>
      <c r="L256" t="inlineStr">
        <is>
          <t xml:space="preserve">Backlog ref #230 · verdict CONFIRMED</t>
        </is>
      </c>
    </row>
    <row r="257">
      <c r="A257">
        <v>246</v>
      </c>
      <c r="B257" t="inlineStr">
        <is>
          <t xml:space="preserve">Code Audit</t>
        </is>
      </c>
      <c r="C257" t="inlineStr">
        <is>
          <t xml:space="preserve">Deployment · Config · Ops Readiness</t>
        </is>
      </c>
      <c r="D257" t="inlineStr">
        <is>
          <t xml:space="preserve">Cross-cutting — Backend host validation</t>
        </is>
      </c>
      <c r="E257" t="inlineStr">
        <is>
          <t xml:space="preserve">Config hardening: ASP.NET Core's host-header validation middleware is effectively disabled (wildcard allows any Host header).</t>
        </is>
      </c>
      <c r="F257" t="inlineStr">
        <is>
          <t xml:space="preserve">Ops/Config</t>
        </is>
      </c>
      <c r="G257" t="inlineStr">
        <is>
          <t xml:space="preserve">Medium</t>
        </is>
      </c>
      <c r="H257" t="inlineStr">
        <is>
          <t xml:space="preserve">Built – audit finding</t>
        </is>
      </c>
      <c r="I257">
        <v>2.0</v>
      </c>
      <c r="J257">
        <v>1.0</v>
      </c>
      <c r="K257">
        <v>3.0</v>
      </c>
      <c r="L257" t="inlineStr">
        <is>
          <t xml:space="preserve">Backlog ref #231 · verdict CONFIRMED</t>
        </is>
      </c>
    </row>
    <row r="258">
      <c r="A258">
        <v>247</v>
      </c>
      <c r="B258" t="inlineStr">
        <is>
          <t xml:space="preserve">Code Audit</t>
        </is>
      </c>
      <c r="C258" t="inlineStr">
        <is>
          <t xml:space="preserve">Deployment · Config · Ops Readiness</t>
        </is>
      </c>
      <c r="D258" t="inlineStr">
        <is>
          <t xml:space="preserve">Cross-cutting — Hangfire background jobs</t>
        </is>
      </c>
      <c r="E258" t="inlineStr">
        <is>
          <t xml:space="preserve">Operational visibility / dashboard: The Hangfire dashboard — the only UI for inspecting recurring/background job history, failures, and retries (email sends, PayU recurring charges, event-communication dispatch, import jobs) — is unreachable in QA/UAT/Production.</t>
        </is>
      </c>
      <c r="F258" t="inlineStr">
        <is>
          <t xml:space="preserve">Ops/Config</t>
        </is>
      </c>
      <c r="G258" t="inlineStr">
        <is>
          <t xml:space="preserve">Medium</t>
        </is>
      </c>
      <c r="H258" t="inlineStr">
        <is>
          <t xml:space="preserve">Built – audit finding</t>
        </is>
      </c>
      <c r="I258">
        <v>2.0</v>
      </c>
      <c r="J258">
        <v>1.0</v>
      </c>
      <c r="K258">
        <v>3.0</v>
      </c>
      <c r="L258" t="inlineStr">
        <is>
          <t xml:space="preserve">Backlog ref #232 · verdict CONFIRMED</t>
        </is>
      </c>
    </row>
    <row r="259">
      <c r="A259">
        <v>248</v>
      </c>
      <c r="B259" t="inlineStr">
        <is>
          <t xml:space="preserve">Code Audit</t>
        </is>
      </c>
      <c r="C259" t="inlineStr">
        <is>
          <t xml:space="preserve">Deployment · Config · Ops Readiness</t>
        </is>
      </c>
      <c r="D259" t="inlineStr">
        <is>
          <t xml:space="preserve">Cross-cutting — Public anonymous endpoints (Donation/P2P/CrowdFund/Prayer/Volun…</t>
        </is>
      </c>
      <c r="E259" t="inlineStr">
        <is>
          <t xml:space="preserve">Rate limiting / graceful degradation under scale: None of these limiters use a distributed backing store (e.g. Redis); each App Service instance keeps its own independent counter.</t>
        </is>
      </c>
      <c r="F259" t="inlineStr">
        <is>
          <t xml:space="preserve">Ops/Config</t>
        </is>
      </c>
      <c r="G259" t="inlineStr">
        <is>
          <t xml:space="preserve">Medium</t>
        </is>
      </c>
      <c r="H259" t="inlineStr">
        <is>
          <t xml:space="preserve">Built – audit finding</t>
        </is>
      </c>
      <c r="I259">
        <v>2.0</v>
      </c>
      <c r="J259">
        <v>1.0</v>
      </c>
      <c r="K259">
        <v>3.0</v>
      </c>
      <c r="L259" t="inlineStr">
        <is>
          <t xml:space="preserve">Backlog ref #233 · verdict CONFIRMED</t>
        </is>
      </c>
    </row>
    <row r="260">
      <c r="A260">
        <v>249</v>
      </c>
      <c r="B260" t="inlineStr">
        <is>
          <t xml:space="preserve">Code Audit</t>
        </is>
      </c>
      <c r="C260" t="inlineStr">
        <is>
          <t xml:space="preserve">Error Handling · Logging · Monitoring</t>
        </is>
      </c>
      <c r="D260" t="inlineStr">
        <is>
          <t xml:space="preserve">Cross-cutting — error response contract consistency</t>
        </is>
      </c>
      <c r="E260" t="inlineStr">
        <is>
          <t xml:space="preserve">Uniform error envelope across API surfaces: Three different, structurally incompatible error response shapes exist depending on which layer catches an exception: (1) CustomExceptionHandler would produce RFC7807 `ProblemDetails` (Title/Detail/Status/Instance/traceId) — but is dead co…</t>
        </is>
      </c>
      <c r="F260" t="inlineStr">
        <is>
          <t xml:space="preserve">Fix</t>
        </is>
      </c>
      <c r="G260" t="inlineStr">
        <is>
          <t xml:space="preserve">Medium</t>
        </is>
      </c>
      <c r="H260" t="inlineStr">
        <is>
          <t xml:space="preserve">Built – audit finding</t>
        </is>
      </c>
      <c r="I260">
        <v>1.5</v>
      </c>
      <c r="J260">
        <v>0.75</v>
      </c>
      <c r="K260">
        <v>2.25</v>
      </c>
      <c r="L260" t="inlineStr">
        <is>
          <t xml:space="preserve">Backlog ref #234 · verdict CONFIRMED</t>
        </is>
      </c>
    </row>
    <row r="261">
      <c r="A261">
        <v>250</v>
      </c>
      <c r="B261" t="inlineStr">
        <is>
          <t xml:space="preserve">Code Audit</t>
        </is>
      </c>
      <c r="C261" t="inlineStr">
        <is>
          <t xml:space="preserve">Error Handling · Logging · Monitoring</t>
        </is>
      </c>
      <c r="D261" t="inlineStr">
        <is>
          <t xml:space="preserve">Cross-cutting — exception logging fidelity</t>
        </is>
      </c>
      <c r="E261" t="inlineStr">
        <is>
          <t xml:space="preserve">Stack-trace capture in structured logs: CustomExceptionHandler.cs:12-14 logs `logger.LogError("Error Message: {exceptionMessage}, Time of occurrence {time}", exception.Message, DateTime.UtcNow)` — the `Exception` object itself is never passed as the log call's leading `Exception…</t>
        </is>
      </c>
      <c r="F261" t="inlineStr">
        <is>
          <t xml:space="preserve">Fix</t>
        </is>
      </c>
      <c r="G261" t="inlineStr">
        <is>
          <t xml:space="preserve">Medium</t>
        </is>
      </c>
      <c r="H261" t="inlineStr">
        <is>
          <t xml:space="preserve">Built – audit finding</t>
        </is>
      </c>
      <c r="I261">
        <v>1.5</v>
      </c>
      <c r="J261">
        <v>0.75</v>
      </c>
      <c r="K261">
        <v>2.25</v>
      </c>
      <c r="L261" t="inlineStr">
        <is>
          <t xml:space="preserve">Backlog ref #235 · verdict CONFIRMED</t>
        </is>
      </c>
    </row>
    <row r="262">
      <c r="A262">
        <v>251</v>
      </c>
      <c r="B262" t="inlineStr">
        <is>
          <t xml:space="preserve">Code Audit</t>
        </is>
      </c>
      <c r="C262" t="inlineStr">
        <is>
          <t xml:space="preserve">Field Collection · Ambassador</t>
        </is>
      </c>
      <c r="D262" t="inlineStr">
        <is>
          <t xml:space="preserve">Ambassador list / Ambassador Performance</t>
        </is>
      </c>
      <c r="E262" t="inlineStr">
        <is>
          <t xml:space="preserve">Ambassador grid row aggregation (CollectionsThisMonth, CollectionsYtd, DonorsVisited, book usage %): Confirmed N+1 query pattern: roughly 6 additional DB round-trips per grid row on top of the base paginated query.</t>
        </is>
      </c>
      <c r="F262" t="inlineStr">
        <is>
          <t xml:space="preserve">Fix – Performance</t>
        </is>
      </c>
      <c r="G262" t="inlineStr">
        <is>
          <t xml:space="preserve">Medium</t>
        </is>
      </c>
      <c r="H262" t="inlineStr">
        <is>
          <t xml:space="preserve">Built – audit finding</t>
        </is>
      </c>
      <c r="I262">
        <v>2.0</v>
      </c>
      <c r="J262">
        <v>1.0</v>
      </c>
      <c r="K262">
        <v>3.0</v>
      </c>
      <c r="L262" t="inlineStr">
        <is>
          <t xml:space="preserve">Backlog ref #236 · verdict CONFIRMED</t>
        </is>
      </c>
    </row>
    <row r="263">
      <c r="A263">
        <v>252</v>
      </c>
      <c r="B263" t="inlineStr">
        <is>
          <t xml:space="preserve">Code Audit</t>
        </is>
      </c>
      <c r="C263" t="inlineStr">
        <is>
          <t xml:space="preserve">Field Collection · Ambassador</t>
        </is>
      </c>
      <c r="D263" t="inlineStr">
        <is>
          <t xml:space="preserve">Field Collection / Record Collection</t>
        </is>
      </c>
      <c r="E263" t="inlineStr">
        <is>
          <t xml:space="preserve">Integration with central donation ledger: Field-collected donations never flow into (or link to) the central donation ledger used by the rest of the platform.</t>
        </is>
      </c>
      <c r="F263" t="inlineStr">
        <is>
          <t xml:space="preserve">Fix – Data Integrity</t>
        </is>
      </c>
      <c r="G263" t="inlineStr">
        <is>
          <t xml:space="preserve">Medium</t>
        </is>
      </c>
      <c r="H263" t="inlineStr">
        <is>
          <t xml:space="preserve">Built – audit finding</t>
        </is>
      </c>
      <c r="I263">
        <v>2.0</v>
      </c>
      <c r="J263">
        <v>1.0</v>
      </c>
      <c r="K263">
        <v>3.0</v>
      </c>
      <c r="L263" t="inlineStr">
        <is>
          <t xml:space="preserve">Backlog ref #237 · verdict CONFIRMED</t>
        </is>
      </c>
    </row>
    <row r="264">
      <c r="A264">
        <v>253</v>
      </c>
      <c r="B264" t="inlineStr">
        <is>
          <t xml:space="preserve">Code Audit</t>
        </is>
      </c>
      <c r="C264" t="inlineStr">
        <is>
          <t xml:space="preserve">Field Collection · Ambassador</t>
        </is>
      </c>
      <c r="D264" t="inlineStr">
        <is>
          <t xml:space="preserve">Receipt Book</t>
        </is>
      </c>
      <c r="E264" t="inlineStr">
        <is>
          <t xml:space="preserve">Receipt book lifecycle state: No enforced state machine exists for a receipt book's own lifecycle, so nothing prevents assigning an already-depleted or administratively-closed book, and no audit trail records book-level lifecycle transitions independent of assignment r…</t>
        </is>
      </c>
      <c r="F264" t="inlineStr">
        <is>
          <t xml:space="preserve">Fix – Business Logic</t>
        </is>
      </c>
      <c r="G264" t="inlineStr">
        <is>
          <t xml:space="preserve">Medium</t>
        </is>
      </c>
      <c r="H264" t="inlineStr">
        <is>
          <t xml:space="preserve">Built – audit finding</t>
        </is>
      </c>
      <c r="I264">
        <v>2.0</v>
      </c>
      <c r="J264">
        <v>1.0</v>
      </c>
      <c r="K264">
        <v>3.0</v>
      </c>
      <c r="L264" t="inlineStr">
        <is>
          <t xml:space="preserve">Backlog ref #238 · verdict CONFIRMED</t>
        </is>
      </c>
    </row>
    <row r="265">
      <c r="A265">
        <v>254</v>
      </c>
      <c r="B265" t="inlineStr">
        <is>
          <t xml:space="preserve">Code Audit</t>
        </is>
      </c>
      <c r="C265" t="inlineStr">
        <is>
          <t xml:space="preserve">Field Collection · Ambassador</t>
        </is>
      </c>
      <c r="D265" t="inlineStr">
        <is>
          <t xml:space="preserve">Record Collection form</t>
        </is>
      </c>
      <c r="E265" t="inlineStr">
        <is>
          <t xml:space="preserve">Offline-first field data entry: There is no offline-capable submission path for a workflow explicitly designed for field ambassadors, who routinely operate with intermittent or no connectivity.</t>
        </is>
      </c>
      <c r="F265" t="inlineStr">
        <is>
          <t xml:space="preserve">Fix</t>
        </is>
      </c>
      <c r="G265" t="inlineStr">
        <is>
          <t xml:space="preserve">Medium</t>
        </is>
      </c>
      <c r="H265" t="inlineStr">
        <is>
          <t xml:space="preserve">Built – audit finding</t>
        </is>
      </c>
      <c r="I265">
        <v>1.5</v>
      </c>
      <c r="J265">
        <v>0.75</v>
      </c>
      <c r="K265">
        <v>2.25</v>
      </c>
      <c r="L265" t="inlineStr">
        <is>
          <t xml:space="preserve">Backlog ref #239 · verdict CONFIRMED</t>
        </is>
      </c>
    </row>
    <row r="266">
      <c r="A266">
        <v>255</v>
      </c>
      <c r="B266" t="inlineStr">
        <is>
          <t xml:space="preserve">Code Audit</t>
        </is>
      </c>
      <c r="C266" t="inlineStr">
        <is>
          <t xml:space="preserve">Fundraising · Campaigns &amp; Intake</t>
        </is>
      </c>
      <c r="D266" t="inlineStr">
        <is>
          <t xml:space="preserve">Bulk Donation</t>
        </is>
      </c>
      <c r="E266" t="inlineStr">
        <is>
          <t xml:space="preserve">Duplicate receipt detection: A row whose receipt number exactly matches an existing donation's receipt number is allowed through to insertion by default (Warning, not Invalid/blocked) -- there is no hard uniqueness constraint or block, and no cross-check against OTHER…</t>
        </is>
      </c>
      <c r="F266" t="inlineStr">
        <is>
          <t xml:space="preserve">Fix – Data Integrity</t>
        </is>
      </c>
      <c r="G266" t="inlineStr">
        <is>
          <t xml:space="preserve">Medium</t>
        </is>
      </c>
      <c r="H266" t="inlineStr">
        <is>
          <t xml:space="preserve">Built – audit finding</t>
        </is>
      </c>
      <c r="I266">
        <v>2.0</v>
      </c>
      <c r="J266">
        <v>1.0</v>
      </c>
      <c r="K266">
        <v>3.0</v>
      </c>
      <c r="L266" t="inlineStr">
        <is>
          <t xml:space="preserve">Backlog ref #240 · verdict CONFIRMED</t>
        </is>
      </c>
    </row>
    <row r="267">
      <c r="A267">
        <v>256</v>
      </c>
      <c r="B267" t="inlineStr">
        <is>
          <t xml:space="preserve">Code Audit</t>
        </is>
      </c>
      <c r="C267" t="inlineStr">
        <is>
          <t xml:space="preserve">Fundraising · Campaigns &amp; Intake</t>
        </is>
      </c>
      <c r="D267" t="inlineStr">
        <is>
          <t xml:space="preserve">Bulk Donation Import</t>
        </is>
      </c>
      <c r="E267" t="inlineStr">
        <is>
          <t xml:space="preserve">Historical/offline donation batch import — currency/FX handling: There is no direct-pair FX lookup (unlike PromoteOnlineDonationStaging.cs's fxRateService.GetRateAsync pattern) -- every imported donation is treated as if its transaction currency IS the org's base currency, producing a wrong BaseCurrency…</t>
        </is>
      </c>
      <c r="F267" t="inlineStr">
        <is>
          <t xml:space="preserve">Fix – Data Integrity</t>
        </is>
      </c>
      <c r="G267" t="inlineStr">
        <is>
          <t xml:space="preserve">Medium</t>
        </is>
      </c>
      <c r="H267" t="inlineStr">
        <is>
          <t xml:space="preserve">Built – audit finding</t>
        </is>
      </c>
      <c r="I267">
        <v>2.0</v>
      </c>
      <c r="J267">
        <v>1.0</v>
      </c>
      <c r="K267">
        <v>3.0</v>
      </c>
      <c r="L267" t="inlineStr">
        <is>
          <t xml:space="preserve">Backlog ref #241 · verdict ADJUSTED</t>
        </is>
      </c>
    </row>
    <row r="268">
      <c r="A268">
        <v>257</v>
      </c>
      <c r="B268" t="inlineStr">
        <is>
          <t xml:space="preserve">Code Audit</t>
        </is>
      </c>
      <c r="C268" t="inlineStr">
        <is>
          <t xml:space="preserve">Fundraising · Campaigns &amp; Intake</t>
        </is>
      </c>
      <c r="D268" t="inlineStr">
        <is>
          <t xml:space="preserve">Crowdfunding</t>
        </is>
      </c>
      <c r="E268" t="inlineStr">
        <is>
          <t xml:space="preserve">Recurring donation confirm (Braintree/Razorpay/PayU): If a later SaveChangesAsync in the same logical recurring-setup sequence throws (e.g., a distribution insert fails FK validation), earlier SaveChangesAsync calls in the same request have already committed, leaving an orphaned PaymentMethod…</t>
        </is>
      </c>
      <c r="F268" t="inlineStr">
        <is>
          <t xml:space="preserve">Fix – Data Integrity</t>
        </is>
      </c>
      <c r="G268" t="inlineStr">
        <is>
          <t xml:space="preserve">Medium</t>
        </is>
      </c>
      <c r="H268" t="inlineStr">
        <is>
          <t xml:space="preserve">Built – audit finding</t>
        </is>
      </c>
      <c r="I268">
        <v>2.0</v>
      </c>
      <c r="J268">
        <v>1.0</v>
      </c>
      <c r="K268">
        <v>3.0</v>
      </c>
      <c r="L268" t="inlineStr">
        <is>
          <t xml:space="preserve">Backlog ref #242 · verdict CONFIRMED</t>
        </is>
      </c>
    </row>
    <row r="269">
      <c r="A269">
        <v>258</v>
      </c>
      <c r="B269" t="inlineStr">
        <is>
          <t xml:space="preserve">Code Audit</t>
        </is>
      </c>
      <c r="C269" t="inlineStr">
        <is>
          <t xml:space="preserve">Fundraising · Campaigns &amp; Intake</t>
        </is>
      </c>
      <c r="D269" t="inlineStr">
        <is>
          <t xml:space="preserve">Crowdfunding</t>
        </is>
      </c>
      <c r="E269" t="inlineStr">
        <is>
          <t xml:space="preserve">Reward tiers / perks / inventory: There is no reward-tier, perk, or inventory/quantity concept modeled anywhere in the Crowdfunding feature -- donors can only give a free-form monetary amount toward a goal, with no perk selection or stock/quantity tracking.</t>
        </is>
      </c>
      <c r="F269" t="inlineStr">
        <is>
          <t xml:space="preserve">Fix – Business Logic</t>
        </is>
      </c>
      <c r="G269" t="inlineStr">
        <is>
          <t xml:space="preserve">Medium</t>
        </is>
      </c>
      <c r="H269" t="inlineStr">
        <is>
          <t xml:space="preserve">Built – audit finding</t>
        </is>
      </c>
      <c r="I269">
        <v>2.0</v>
      </c>
      <c r="J269">
        <v>1.0</v>
      </c>
      <c r="K269">
        <v>3.0</v>
      </c>
      <c r="L269" t="inlineStr">
        <is>
          <t xml:space="preserve">Backlog ref #243 · verdict CONFIRMED</t>
        </is>
      </c>
    </row>
    <row r="270">
      <c r="A270">
        <v>259</v>
      </c>
      <c r="B270" t="inlineStr">
        <is>
          <t xml:space="preserve">Code Audit</t>
        </is>
      </c>
      <c r="C270" t="inlineStr">
        <is>
          <t xml:space="preserve">Fundraising · Campaigns &amp; Intake</t>
        </is>
      </c>
      <c r="D270" t="inlineStr">
        <is>
          <t xml:space="preserve">Online Donation Setup / P2P / Crowdfunding (Initiate)</t>
        </is>
      </c>
      <c r="E270" t="inlineStr">
        <is>
          <t xml:space="preserve">Cross-instance idempotency for donation initiation: In any horizontally-scaled deployment (multiple app instances behind a load balancer), a retried Initiate request routed to a different instance bypasses the cache entirely, and a request retried after 10 minutes on the same instance also…</t>
        </is>
      </c>
      <c r="F270" t="inlineStr">
        <is>
          <t xml:space="preserve">Fix</t>
        </is>
      </c>
      <c r="G270" t="inlineStr">
        <is>
          <t xml:space="preserve">Medium</t>
        </is>
      </c>
      <c r="H270" t="inlineStr">
        <is>
          <t xml:space="preserve">Built – audit finding</t>
        </is>
      </c>
      <c r="I270">
        <v>1.5</v>
      </c>
      <c r="J270">
        <v>0.75</v>
      </c>
      <c r="K270">
        <v>2.25</v>
      </c>
      <c r="L270" t="inlineStr">
        <is>
          <t xml:space="preserve">Backlog ref #244 · verdict CONFIRMED</t>
        </is>
      </c>
    </row>
    <row r="271">
      <c r="A271">
        <v>260</v>
      </c>
      <c r="B271" t="inlineStr">
        <is>
          <t xml:space="preserve">Code Audit</t>
        </is>
      </c>
      <c r="C271" t="inlineStr">
        <is>
          <t xml:space="preserve">Fundraising · Campaigns &amp; Intake</t>
        </is>
      </c>
      <c r="D271" t="inlineStr">
        <is>
          <t xml:space="preserve">Payment Reconciliation</t>
        </is>
      </c>
      <c r="E271" t="inlineStr">
        <is>
          <t xml:space="preserve">Run Auto-Reconciliation concurrency safety: The only protection against double-matching is the in-request `usedGds` HashSet and the pre-query filter excluding already-linked GODs -- both are point-in-time snapshots with no locking, so two overlapping RunAutoReconciliation invocation…</t>
        </is>
      </c>
      <c r="F271" t="inlineStr">
        <is>
          <t xml:space="preserve">Fix – Data Integrity</t>
        </is>
      </c>
      <c r="G271" t="inlineStr">
        <is>
          <t xml:space="preserve">Medium</t>
        </is>
      </c>
      <c r="H271" t="inlineStr">
        <is>
          <t xml:space="preserve">Built – audit finding</t>
        </is>
      </c>
      <c r="I271">
        <v>2.0</v>
      </c>
      <c r="J271">
        <v>1.0</v>
      </c>
      <c r="K271">
        <v>3.0</v>
      </c>
      <c r="L271" t="inlineStr">
        <is>
          <t xml:space="preserve">Backlog ref #245 · verdict CONFIRMED</t>
        </is>
      </c>
    </row>
    <row r="272">
      <c r="A272">
        <v>261</v>
      </c>
      <c r="B272" t="inlineStr">
        <is>
          <t xml:space="preserve">Code Audit</t>
        </is>
      </c>
      <c r="C272" t="inlineStr">
        <is>
          <t xml:space="preserve">Fundraising · Donations &amp; Receipts</t>
        </is>
      </c>
      <c r="D272" t="inlineStr">
        <is>
          <t xml:space="preserve">Donation In Kind — legacy standalone flow (Screen #7) vs GlobalDonation-flow DIK</t>
        </is>
      </c>
      <c r="E272" t="inlineStr">
        <is>
          <t xml:space="preserve">Legacy DIK records unreachable by new Realize lifecycle: DIK records created via the legacy standalone flow never get a `ValuationStatusId` populated by the new lifecycle scheme (it stays NULL, since the SQL function only sets the old `DIKStatusId`), so they can never satisfy RealizeInKindDonati…</t>
        </is>
      </c>
      <c r="F272" t="inlineStr">
        <is>
          <t xml:space="preserve">Fix</t>
        </is>
      </c>
      <c r="G272" t="inlineStr">
        <is>
          <t xml:space="preserve">Medium</t>
        </is>
      </c>
      <c r="H272" t="inlineStr">
        <is>
          <t xml:space="preserve">Built – audit finding</t>
        </is>
      </c>
      <c r="I272">
        <v>1.5</v>
      </c>
      <c r="J272">
        <v>0.75</v>
      </c>
      <c r="K272">
        <v>2.25</v>
      </c>
      <c r="L272" t="inlineStr">
        <is>
          <t xml:space="preserve">Backlog ref #246 · verdict CONFIRMED</t>
        </is>
      </c>
    </row>
    <row r="273">
      <c r="A273">
        <v>262</v>
      </c>
      <c r="B273" t="inlineStr">
        <is>
          <t xml:space="preserve">Code Audit</t>
        </is>
      </c>
      <c r="C273" t="inlineStr">
        <is>
          <t xml:space="preserve">Fundraising · Donations &amp; Receipts</t>
        </is>
      </c>
      <c r="D273" t="inlineStr">
        <is>
          <t xml:space="preserve">Pledge — installment payment</t>
        </is>
      </c>
      <c r="E273" t="inlineStr">
        <is>
          <t xml:space="preserve">Pledge installment partial payment: A donor cannot pay less than the full scheduled installment amount in a single donation — there is no code path that accepts a partial amount toward one PledgePayment row and carries the remainder forward as still-due.</t>
        </is>
      </c>
      <c r="F273" t="inlineStr">
        <is>
          <t xml:space="preserve">Fix – Business Logic</t>
        </is>
      </c>
      <c r="G273" t="inlineStr">
        <is>
          <t xml:space="preserve">Medium</t>
        </is>
      </c>
      <c r="H273" t="inlineStr">
        <is>
          <t xml:space="preserve">Built – audit finding</t>
        </is>
      </c>
      <c r="I273">
        <v>2.0</v>
      </c>
      <c r="J273">
        <v>1.0</v>
      </c>
      <c r="K273">
        <v>3.0</v>
      </c>
      <c r="L273" t="inlineStr">
        <is>
          <t xml:space="preserve">Backlog ref #247 · verdict CONFIRMED</t>
        </is>
      </c>
    </row>
    <row r="274">
      <c r="A274">
        <v>263</v>
      </c>
      <c r="B274" t="inlineStr">
        <is>
          <t xml:space="preserve">Code Audit</t>
        </is>
      </c>
      <c r="C274" t="inlineStr">
        <is>
          <t xml:space="preserve">Fundraising · Donations &amp; Receipts</t>
        </is>
      </c>
      <c r="D274" t="inlineStr">
        <is>
          <t xml:space="preserve">Pledge — write-off</t>
        </is>
      </c>
      <c r="E274" t="inlineStr">
        <is>
          <t xml:space="preserve">Pledge write-off capability: A repo-wide grep for 'WRITEOFF|WRITE_OFF|WrittenOff|WriteOff' across the entire backend returns zero matches. There is no write-off status, command, or field anywhere in the Pledge domain — only Cancel exists.</t>
        </is>
      </c>
      <c r="F274" t="inlineStr">
        <is>
          <t xml:space="preserve">Fix – Business Logic</t>
        </is>
      </c>
      <c r="G274" t="inlineStr">
        <is>
          <t xml:space="preserve">Medium</t>
        </is>
      </c>
      <c r="H274" t="inlineStr">
        <is>
          <t xml:space="preserve">Built – audit finding</t>
        </is>
      </c>
      <c r="I274">
        <v>2.0</v>
      </c>
      <c r="J274">
        <v>1.0</v>
      </c>
      <c r="K274">
        <v>3.0</v>
      </c>
      <c r="L274" t="inlineStr">
        <is>
          <t xml:space="preserve">Backlog ref #248 · verdict CONFIRMED</t>
        </is>
      </c>
    </row>
    <row r="275">
      <c r="A275">
        <v>264</v>
      </c>
      <c r="B275" t="inlineStr">
        <is>
          <t xml:space="preserve">Code Audit</t>
        </is>
      </c>
      <c r="C275" t="inlineStr">
        <is>
          <t xml:space="preserve">Grants</t>
        </is>
      </c>
      <c r="D275" t="inlineStr">
        <is>
          <t xml:space="preserve">Grant / GrantExpense / GrantFundReceipt entities — optimistic concurrency</t>
        </is>
      </c>
      <c r="E275" t="inlineStr">
        <is>
          <t xml:space="preserve">Grant concurrency control: Grant.cs, GrantExpense.cs and GrantFundReceipt.cs carry no RowVersion/concurrency-token column, yet many handlers (ApproveGrant, ActivateGrant, RejectGrant, UpdateGrantStage, CreateGrantExpense, DeleteGrantExpense, AllocateGrantToFundingSo…</t>
        </is>
      </c>
      <c r="F275" t="inlineStr">
        <is>
          <t xml:space="preserve">Fix – Concurrency</t>
        </is>
      </c>
      <c r="G275" t="inlineStr">
        <is>
          <t xml:space="preserve">Medium</t>
        </is>
      </c>
      <c r="H275" t="inlineStr">
        <is>
          <t xml:space="preserve">Built – audit finding</t>
        </is>
      </c>
      <c r="I275">
        <v>2.0</v>
      </c>
      <c r="J275">
        <v>1.0</v>
      </c>
      <c r="K275">
        <v>3.0</v>
      </c>
      <c r="L275" t="inlineStr">
        <is>
          <t xml:space="preserve">Backlog ref #249 · verdict CONFIRMED</t>
        </is>
      </c>
    </row>
    <row r="276">
      <c r="A276">
        <v>265</v>
      </c>
      <c r="B276" t="inlineStr">
        <is>
          <t xml:space="preserve">Code Audit</t>
        </is>
      </c>
      <c r="C276" t="inlineStr">
        <is>
          <t xml:space="preserve">Grants</t>
        </is>
      </c>
      <c r="D276" t="inlineStr">
        <is>
          <t xml:space="preserve">Grant Expense — Create (CreateGrantExpense)</t>
        </is>
      </c>
      <c r="E276" t="inlineStr">
        <is>
          <t xml:space="preserve">Grant expense budget-line cross-grant validation: CreateGrantExpenseHandler (CreateGrantExpense.cs lines 95-100) loads the GrantBudgetLine solely by GrantBudgetLineId, with no check that the fetched line's GrantId matches input.GrantId. A caller can pass a GrantBudgetLineId belonging to a…</t>
        </is>
      </c>
      <c r="F276" t="inlineStr">
        <is>
          <t xml:space="preserve">Fix – Data Integrity</t>
        </is>
      </c>
      <c r="G276" t="inlineStr">
        <is>
          <t xml:space="preserve">Medium</t>
        </is>
      </c>
      <c r="H276" t="inlineStr">
        <is>
          <t xml:space="preserve">Built – audit finding</t>
        </is>
      </c>
      <c r="I276">
        <v>2.0</v>
      </c>
      <c r="J276">
        <v>1.0</v>
      </c>
      <c r="K276">
        <v>3.0</v>
      </c>
      <c r="L276" t="inlineStr">
        <is>
          <t xml:space="preserve">Backlog ref #250 · verdict CONFIRMED</t>
        </is>
      </c>
    </row>
    <row r="277">
      <c r="A277">
        <v>266</v>
      </c>
      <c r="B277" t="inlineStr">
        <is>
          <t xml:space="preserve">Code Audit</t>
        </is>
      </c>
      <c r="C277" t="inlineStr">
        <is>
          <t xml:space="preserve">Grants</t>
        </is>
      </c>
      <c r="D277" t="inlineStr">
        <is>
          <t xml:space="preserve">Grant Expense — Delete (DeleteGrantExpense)</t>
        </is>
      </c>
      <c r="E277" t="inlineStr">
        <is>
          <t xml:space="preserve">Grant expense delete lifecycle lock: DeleteGrantExpenseHandler (DeleteGrantExpense.cs) has no stage/lock check — it will soft-delete a GrantExpense and decrement Grant.TotalSpent / GrantBudgetLine.SpentAmount even if the parent grant has since moved to CLOSED or CANCELLED. Gr…</t>
        </is>
      </c>
      <c r="F277" t="inlineStr">
        <is>
          <t xml:space="preserve">Fix – Business Logic</t>
        </is>
      </c>
      <c r="G277" t="inlineStr">
        <is>
          <t xml:space="preserve">Medium</t>
        </is>
      </c>
      <c r="H277" t="inlineStr">
        <is>
          <t xml:space="preserve">Built – audit finding</t>
        </is>
      </c>
      <c r="I277">
        <v>2.0</v>
      </c>
      <c r="J277">
        <v>1.0</v>
      </c>
      <c r="K277">
        <v>3.0</v>
      </c>
      <c r="L277" t="inlineStr">
        <is>
          <t xml:space="preserve">Backlog ref #251 · verdict CONFIRMED</t>
        </is>
      </c>
    </row>
    <row r="278">
      <c r="A278">
        <v>267</v>
      </c>
      <c r="B278" t="inlineStr">
        <is>
          <t xml:space="preserve">Code Audit</t>
        </is>
      </c>
      <c r="C278" t="inlineStr">
        <is>
          <t xml:space="preserve">Grants</t>
        </is>
      </c>
      <c r="D278" t="inlineStr">
        <is>
          <t xml:space="preserve">Grant Fund Receipt — Create (CreateGrantFundReceipt) FX snapshot</t>
        </is>
      </c>
      <c r="E278" t="inlineStr">
        <is>
          <t xml:space="preserve">Grant fund receipt FX snapshot fallback: CreateGrantFundReceiptHandler only snapshots ExchangeRate/GrantCurrencyAmount when receipt.CurrencyId != grant.CurrencyId AND a direct-pair FX rate is found (lines 82-94); on an FX-rate miss both columns stay NULL, and every downstream rol…</t>
        </is>
      </c>
      <c r="F278" t="inlineStr">
        <is>
          <t xml:space="preserve">Fix – Currency</t>
        </is>
      </c>
      <c r="G278" t="inlineStr">
        <is>
          <t xml:space="preserve">Medium</t>
        </is>
      </c>
      <c r="H278" t="inlineStr">
        <is>
          <t xml:space="preserve">Built – audit finding</t>
        </is>
      </c>
      <c r="I278">
        <v>2.0</v>
      </c>
      <c r="J278">
        <v>1.0</v>
      </c>
      <c r="K278">
        <v>3.0</v>
      </c>
      <c r="L278" t="inlineStr">
        <is>
          <t xml:space="preserve">Backlog ref #252 · verdict CONFIRMED</t>
        </is>
      </c>
    </row>
    <row r="279">
      <c r="A279">
        <v>268</v>
      </c>
      <c r="B279" t="inlineStr">
        <is>
          <t xml:space="preserve">Code Audit</t>
        </is>
      </c>
      <c r="C279" t="inlineStr">
        <is>
          <t xml:space="preserve">Multi-Tenancy Isolation</t>
        </is>
      </c>
      <c r="D279" t="inlineStr">
        <is>
          <t xml:space="preserve">Public page slug resolution (all EXTERNAL_PAGE screens: OnlineDonationPage, Cro…</t>
        </is>
      </c>
      <c r="E279" t="inlineStr">
        <is>
          <t xml:space="preserve">Slug uniqueness scope: Combined with any tenant-resolution path that falls back to 'first active company' (either as the sole mechanism, as in VolunteerRegistrationPage/PrayerRequestPage/PrayerWall, or as a last-resort fallback after hostname matching fails, as…</t>
        </is>
      </c>
      <c r="F279" t="inlineStr">
        <is>
          <t xml:space="preserve">Fix</t>
        </is>
      </c>
      <c r="G279" t="inlineStr">
        <is>
          <t xml:space="preserve">Medium</t>
        </is>
      </c>
      <c r="H279" t="inlineStr">
        <is>
          <t xml:space="preserve">Built – audit finding</t>
        </is>
      </c>
      <c r="I279">
        <v>1.5</v>
      </c>
      <c r="J279">
        <v>0.75</v>
      </c>
      <c r="K279">
        <v>2.25</v>
      </c>
      <c r="L279" t="inlineStr">
        <is>
          <t xml:space="preserve">Backlog ref #253 · verdict CONFIRMED</t>
        </is>
      </c>
    </row>
    <row r="280">
      <c r="A280">
        <v>269</v>
      </c>
      <c r="B280" t="inlineStr">
        <is>
          <t xml:space="preserve">Code Audit</t>
        </is>
      </c>
      <c r="C280" t="inlineStr">
        <is>
          <t xml:space="preserve">Organization · Events &amp; Staff</t>
        </is>
      </c>
      <c r="D280" t="inlineStr">
        <is>
          <t xml:space="preserve">Event Ticketing</t>
        </is>
      </c>
      <c r="E280" t="inlineStr">
        <is>
          <t xml:space="preserve">Discount code: An admin can set a discount code on a ticket type through the UI, but no checkout flow anywhere validates a submitted code against it or applies any discount to the price.</t>
        </is>
      </c>
      <c r="F280" t="inlineStr">
        <is>
          <t xml:space="preserve">Fix</t>
        </is>
      </c>
      <c r="G280" t="inlineStr">
        <is>
          <t xml:space="preserve">Medium</t>
        </is>
      </c>
      <c r="H280" t="inlineStr">
        <is>
          <t xml:space="preserve">Built – audit finding</t>
        </is>
      </c>
      <c r="I280">
        <v>1.5</v>
      </c>
      <c r="J280">
        <v>0.75</v>
      </c>
      <c r="K280">
        <v>2.25</v>
      </c>
      <c r="L280" t="inlineStr">
        <is>
          <t xml:space="preserve">Backlog ref #254 · verdict CONFIRMED</t>
        </is>
      </c>
    </row>
    <row r="281">
      <c r="A281">
        <v>270</v>
      </c>
      <c r="B281" t="inlineStr">
        <is>
          <t xml:space="preserve">Code Audit</t>
        </is>
      </c>
      <c r="C281" t="inlineStr">
        <is>
          <t xml:space="preserve">Organization · Events &amp; Staff</t>
        </is>
      </c>
      <c r="D281" t="inlineStr">
        <is>
          <t xml:space="preserve">Event Ticketing (admin — Create Registration)</t>
        </is>
      </c>
      <c r="E281" t="inlineStr">
        <is>
          <t xml:space="preserve">Ticket capacity check transaction safety: Two concurrent admin-side registration creations for the same near-capacity ticket type can both read the same currentSold value before either commits, both pass the `wouldExceed` check, and both insert — oversubscribing the ticket type.</t>
        </is>
      </c>
      <c r="F281" t="inlineStr">
        <is>
          <t xml:space="preserve">Fix</t>
        </is>
      </c>
      <c r="G281" t="inlineStr">
        <is>
          <t xml:space="preserve">Medium</t>
        </is>
      </c>
      <c r="H281" t="inlineStr">
        <is>
          <t xml:space="preserve">Built – audit finding</t>
        </is>
      </c>
      <c r="I281">
        <v>1.5</v>
      </c>
      <c r="J281">
        <v>0.75</v>
      </c>
      <c r="K281">
        <v>2.25</v>
      </c>
      <c r="L281" t="inlineStr">
        <is>
          <t xml:space="preserve">Backlog ref #255 · verdict CONFIRMED</t>
        </is>
      </c>
    </row>
    <row r="282">
      <c r="A282">
        <v>271</v>
      </c>
      <c r="B282" t="inlineStr">
        <is>
          <t xml:space="preserve">Code Audit</t>
        </is>
      </c>
      <c r="C282" t="inlineStr">
        <is>
          <t xml:space="preserve">Payments &amp; Financial Integrity</t>
        </is>
      </c>
      <c r="D282" t="inlineStr">
        <is>
          <t xml:space="preserve">Payment Reconciliation (Screen #14) / RunAutoReconciliation</t>
        </is>
      </c>
      <c r="E282" t="inlineStr">
        <is>
          <t xml:space="preserve">Bulk auto-matching of gateway transactions to donations: Only rows achieving BOTH bonuses (score 100) clear the threshold, but the scoring has no additional disambiguation when multiple GlobalDonation candidates tie at the same score (e.g., two different donors giving the identical round amount…</t>
        </is>
      </c>
      <c r="F282" t="inlineStr">
        <is>
          <t xml:space="preserve">Fix – Data Integrity</t>
        </is>
      </c>
      <c r="G282" t="inlineStr">
        <is>
          <t xml:space="preserve">Medium</t>
        </is>
      </c>
      <c r="H282" t="inlineStr">
        <is>
          <t xml:space="preserve">Built – audit finding</t>
        </is>
      </c>
      <c r="I282">
        <v>2.0</v>
      </c>
      <c r="J282">
        <v>1.0</v>
      </c>
      <c r="K282">
        <v>3.0</v>
      </c>
      <c r="L282" t="inlineStr">
        <is>
          <t xml:space="preserve">Backlog ref #256 · verdict CONFIRMED</t>
        </is>
      </c>
    </row>
    <row r="283">
      <c r="A283">
        <v>272</v>
      </c>
      <c r="B283" t="inlineStr">
        <is>
          <t xml:space="preserve">Code Audit</t>
        </is>
      </c>
      <c r="C283" t="inlineStr">
        <is>
          <t xml:space="preserve">Payments &amp; Financial Integrity</t>
        </is>
      </c>
      <c r="D283" t="inlineStr">
        <is>
          <t xml:space="preserve">Recurring Donation Promotion (ODP-B5) / PromoteOnlineDonationStaging, PromoteRe…</t>
        </is>
      </c>
      <c r="E283" t="inlineStr">
        <is>
          <t xml:space="preserve">Gateway fee capture for reconciliation: The actual gateway-deducted fee (which every major processor - Braintree/Razorpay/PayU - reports per transaction) is never captured or stored, even though the DTO has dedicated fields for it.</t>
        </is>
      </c>
      <c r="F283" t="inlineStr">
        <is>
          <t xml:space="preserve">Fix – Data Integrity</t>
        </is>
      </c>
      <c r="G283" t="inlineStr">
        <is>
          <t xml:space="preserve">Medium</t>
        </is>
      </c>
      <c r="H283" t="inlineStr">
        <is>
          <t xml:space="preserve">Built – audit finding</t>
        </is>
      </c>
      <c r="I283">
        <v>2.0</v>
      </c>
      <c r="J283">
        <v>1.0</v>
      </c>
      <c r="K283">
        <v>3.0</v>
      </c>
      <c r="L283" t="inlineStr">
        <is>
          <t xml:space="preserve">Backlog ref #257 · verdict CONFIRMED</t>
        </is>
      </c>
    </row>
    <row r="284">
      <c r="A284">
        <v>273</v>
      </c>
      <c r="B284" t="inlineStr">
        <is>
          <t xml:space="preserve">Code Audit</t>
        </is>
      </c>
      <c r="C284" t="inlineStr">
        <is>
          <t xml:space="preserve">Payments &amp; Financial Integrity</t>
        </is>
      </c>
      <c r="D284" t="inlineStr">
        <is>
          <t xml:space="preserve">Recurring Donation Promotion (ODP-B5) / ResolveOnlineDonationStaging</t>
        </is>
      </c>
      <c r="E284" t="inlineStr">
        <is>
          <t xml:space="preserve">Recurring schedule creation failure handling: If schedule creation fails (e.g., no valid PaymentMethodTokenId, gateway subscription API error), the donation itself is still recorded successfully, but the donor's recurring commitment silently never gets a RecurringDonationSchedule - me…</t>
        </is>
      </c>
      <c r="F284" t="inlineStr">
        <is>
          <t xml:space="preserve">Fix</t>
        </is>
      </c>
      <c r="G284" t="inlineStr">
        <is>
          <t xml:space="preserve">Medium</t>
        </is>
      </c>
      <c r="H284" t="inlineStr">
        <is>
          <t xml:space="preserve">Built – audit finding</t>
        </is>
      </c>
      <c r="I284">
        <v>1.5</v>
      </c>
      <c r="J284">
        <v>0.75</v>
      </c>
      <c r="K284">
        <v>2.25</v>
      </c>
      <c r="L284" t="inlineStr">
        <is>
          <t xml:space="preserve">Backlog ref #258 · verdict CONFIRMED</t>
        </is>
      </c>
    </row>
    <row r="285">
      <c r="A285">
        <v>274</v>
      </c>
      <c r="B285" t="inlineStr">
        <is>
          <t xml:space="preserve">Code Audit</t>
        </is>
      </c>
      <c r="C285" t="inlineStr">
        <is>
          <t xml:space="preserve">Payments &amp; Reconciliation</t>
        </is>
      </c>
      <c r="D285" t="inlineStr">
        <is>
          <t xml:space="preserve">Payment Gateway Webhooks — PayU</t>
        </is>
      </c>
      <c r="E285" t="inlineStr">
        <is>
          <t xml:space="preserve">PayU webhook missing refund/dispute event handling: No webhook handling exists for PayU refund-confirmation or chargeback/dispute events, meaning even if a refund were correctly initiated via IPaymentService.RefundAsync in the future, PSS would have no automated way to confirm the refund ac…</t>
        </is>
      </c>
      <c r="F285" t="inlineStr">
        <is>
          <t xml:space="preserve">Fix</t>
        </is>
      </c>
      <c r="G285" t="inlineStr">
        <is>
          <t xml:space="preserve">Medium</t>
        </is>
      </c>
      <c r="H285" t="inlineStr">
        <is>
          <t xml:space="preserve">Built – audit finding</t>
        </is>
      </c>
      <c r="I285">
        <v>1.5</v>
      </c>
      <c r="J285">
        <v>0.75</v>
      </c>
      <c r="K285">
        <v>2.25</v>
      </c>
      <c r="L285" t="inlineStr">
        <is>
          <t xml:space="preserve">Backlog ref #259 · verdict CONFIRMED</t>
        </is>
      </c>
    </row>
    <row r="286">
      <c r="A286">
        <v>275</v>
      </c>
      <c r="B286" t="inlineStr">
        <is>
          <t xml:space="preserve">Code Audit</t>
        </is>
      </c>
      <c r="C286" t="inlineStr">
        <is>
          <t xml:space="preserve">Payments &amp; Reconciliation</t>
        </is>
      </c>
      <c r="D286" t="inlineStr">
        <is>
          <t xml:space="preserve">Payment Reconciliation — RunAutoReconciliation</t>
        </is>
      </c>
      <c r="E286" t="inlineStr">
        <is>
          <t xml:space="preserve">Auto-reconciliation permanently excludes failed-batch donations: If a batch's SaveChangesAsync throws a DbUpdateException (lines 270-281, 287-298), the code correctly decrements `autoMatched` and increments `failed` for that batch, but the GlobalDonationIds already added to `usedGds` for that failed bat…</t>
        </is>
      </c>
      <c r="F286" t="inlineStr">
        <is>
          <t xml:space="preserve">Fix – Data Integrity</t>
        </is>
      </c>
      <c r="G286" t="inlineStr">
        <is>
          <t xml:space="preserve">Medium</t>
        </is>
      </c>
      <c r="H286" t="inlineStr">
        <is>
          <t xml:space="preserve">Built – audit finding</t>
        </is>
      </c>
      <c r="I286">
        <v>2.0</v>
      </c>
      <c r="J286">
        <v>1.0</v>
      </c>
      <c r="K286">
        <v>3.0</v>
      </c>
      <c r="L286" t="inlineStr">
        <is>
          <t xml:space="preserve">Backlog ref #260 · verdict CONFIRMED</t>
        </is>
      </c>
    </row>
    <row r="287">
      <c r="A287">
        <v>276</v>
      </c>
      <c r="B287" t="inlineStr">
        <is>
          <t xml:space="preserve">Code Audit</t>
        </is>
      </c>
      <c r="C287" t="inlineStr">
        <is>
          <t xml:space="preserve">Payments &amp; Reconciliation</t>
        </is>
      </c>
      <c r="D287" t="inlineStr">
        <is>
          <t xml:space="preserve">PayU Recurring (SI mandate)</t>
        </is>
      </c>
      <c r="E287" t="inlineStr">
        <is>
          <t xml:space="preserve">PayU recurring mandate activation unconfirmed: The recurring schedule is created and presented to the donor/staff as active, but the code itself flags that actual subsequent auto-debits depend on a merchant-account-level activation step that is not confirmed/enforced anywhere in the co…</t>
        </is>
      </c>
      <c r="F287" t="inlineStr">
        <is>
          <t xml:space="preserve">Fix</t>
        </is>
      </c>
      <c r="G287" t="inlineStr">
        <is>
          <t xml:space="preserve">Medium</t>
        </is>
      </c>
      <c r="H287" t="inlineStr">
        <is>
          <t xml:space="preserve">Built – audit finding</t>
        </is>
      </c>
      <c r="I287">
        <v>1.5</v>
      </c>
      <c r="J287">
        <v>0.75</v>
      </c>
      <c r="K287">
        <v>2.25</v>
      </c>
      <c r="L287" t="inlineStr">
        <is>
          <t xml:space="preserve">Backlog ref #261 · verdict CONFIRMED</t>
        </is>
      </c>
    </row>
    <row r="288">
      <c r="A288">
        <v>277</v>
      </c>
      <c r="B288" t="inlineStr">
        <is>
          <t xml:space="preserve">Code Audit</t>
        </is>
      </c>
      <c r="C288" t="inlineStr">
        <is>
          <t xml:space="preserve">Payments &amp; Reconciliation</t>
        </is>
      </c>
      <c r="D288" t="inlineStr">
        <is>
          <t xml:space="preserve">Reconciliation — MatchPaymentTransaction / RunAutoReconciliation</t>
        </is>
      </c>
      <c r="E288" t="inlineStr">
        <is>
          <t xml:space="preserve">Cross-currency transactions unmatchable in reconciliation: Any PaymentTransaction whose donor-facing currency differs from the recorded GlobalDonation currency (which can legitimately happen for multi-currency gateways/pages) can never be matched via reconciliation — manually or automatically — le…</t>
        </is>
      </c>
      <c r="F288" t="inlineStr">
        <is>
          <t xml:space="preserve">Fix – Currency</t>
        </is>
      </c>
      <c r="G288" t="inlineStr">
        <is>
          <t xml:space="preserve">Medium</t>
        </is>
      </c>
      <c r="H288" t="inlineStr">
        <is>
          <t xml:space="preserve">Built – audit finding</t>
        </is>
      </c>
      <c r="I288">
        <v>2.0</v>
      </c>
      <c r="J288">
        <v>1.0</v>
      </c>
      <c r="K288">
        <v>3.0</v>
      </c>
      <c r="L288" t="inlineStr">
        <is>
          <t xml:space="preserve">Backlog ref #262 · verdict CONFIRMED</t>
        </is>
      </c>
    </row>
    <row r="289">
      <c r="A289">
        <v>278</v>
      </c>
      <c r="B289" t="inlineStr">
        <is>
          <t xml:space="preserve">Code Audit</t>
        </is>
      </c>
      <c r="C289" t="inlineStr">
        <is>
          <t xml:space="preserve">Payments &amp; Reconciliation</t>
        </is>
      </c>
      <c r="D289" t="inlineStr">
        <is>
          <t xml:space="preserve">Reconciliation — RespondToDispute</t>
        </is>
      </c>
      <c r="E289" t="inlineStr">
        <is>
          <t xml:space="preserve">Dispute resolution ledger linkage unverified: Not fully verified in this pass whether a lost dispute/chargeback automatically triggers any GlobalDonation ledger adjustment (e.g., RefundedAmount / PaymentStatusId update) analogous to the Refund flow, or whether it is purely a status/no…</t>
        </is>
      </c>
      <c r="F289" t="inlineStr">
        <is>
          <t xml:space="preserve">Fix – Data Integrity</t>
        </is>
      </c>
      <c r="G289" t="inlineStr">
        <is>
          <t xml:space="preserve">Medium</t>
        </is>
      </c>
      <c r="H289" t="inlineStr">
        <is>
          <t xml:space="preserve">Built – audit finding</t>
        </is>
      </c>
      <c r="I289">
        <v>2.0</v>
      </c>
      <c r="J289">
        <v>1.0</v>
      </c>
      <c r="K289">
        <v>3.0</v>
      </c>
      <c r="L289" t="inlineStr">
        <is>
          <t xml:space="preserve">Backlog ref #263 · verdict CONFIRMED</t>
        </is>
      </c>
    </row>
    <row r="290">
      <c r="A290">
        <v>279</v>
      </c>
      <c r="B290" t="inlineStr">
        <is>
          <t xml:space="preserve">Code Audit</t>
        </is>
      </c>
      <c r="C290" t="inlineStr">
        <is>
          <t xml:space="preserve">Payments &amp; Reconciliation</t>
        </is>
      </c>
      <c r="D290" t="inlineStr">
        <is>
          <t xml:space="preserve">Refund Workflow — CreateRefund</t>
        </is>
      </c>
      <c r="E290" t="inlineStr">
        <is>
          <t xml:space="preserve">Refund creation bypasses approval workflow: The primary refund creation path now bypasses the entire approval chain that ApproveRefund/ProcessRefund/CompleteRefund were built to enforce, meaning any user with refund-create permission can immediately finalize a refund (which also fli…</t>
        </is>
      </c>
      <c r="F290" t="inlineStr">
        <is>
          <t xml:space="preserve">Fix – Business Logic</t>
        </is>
      </c>
      <c r="G290" t="inlineStr">
        <is>
          <t xml:space="preserve">Medium</t>
        </is>
      </c>
      <c r="H290" t="inlineStr">
        <is>
          <t xml:space="preserve">Built – audit finding</t>
        </is>
      </c>
      <c r="I290">
        <v>2.0</v>
      </c>
      <c r="J290">
        <v>1.0</v>
      </c>
      <c r="K290">
        <v>3.0</v>
      </c>
      <c r="L290" t="inlineStr">
        <is>
          <t xml:space="preserve">Backlog ref #264 · verdict CONFIRMED</t>
        </is>
      </c>
    </row>
    <row r="291">
      <c r="A291">
        <v>280</v>
      </c>
      <c r="B291" t="inlineStr">
        <is>
          <t xml:space="preserve">Code Audit</t>
        </is>
      </c>
      <c r="C291" t="inlineStr">
        <is>
          <t xml:space="preserve">Performance &amp; Scalability</t>
        </is>
      </c>
      <c r="D291" t="inlineStr">
        <is>
          <t xml:space="preserve">All GraphQL screens (system-wide)</t>
        </is>
      </c>
      <c r="E291" t="inlineStr">
        <is>
          <t xml:space="preserve">GraphQL server hardening / query cost limiting: There is no query-depth limit, no cost/complexity analysis, and no execution timeout configured anywhere in the GraphQL server setup.</t>
        </is>
      </c>
      <c r="F291" t="inlineStr">
        <is>
          <t xml:space="preserve">Fix – Performance</t>
        </is>
      </c>
      <c r="G291" t="inlineStr">
        <is>
          <t xml:space="preserve">Medium</t>
        </is>
      </c>
      <c r="H291" t="inlineStr">
        <is>
          <t xml:space="preserve">Built – audit finding</t>
        </is>
      </c>
      <c r="I291">
        <v>2.0</v>
      </c>
      <c r="J291">
        <v>1.0</v>
      </c>
      <c r="K291">
        <v>3.0</v>
      </c>
      <c r="L291" t="inlineStr">
        <is>
          <t xml:space="preserve">Backlog ref #265 · verdict CONFIRMED</t>
        </is>
      </c>
    </row>
    <row r="292">
      <c r="A292">
        <v>281</v>
      </c>
      <c r="B292" t="inlineStr">
        <is>
          <t xml:space="preserve">Code Audit</t>
        </is>
      </c>
      <c r="C292" t="inlineStr">
        <is>
          <t xml:space="preserve">Performance &amp; Scalability</t>
        </is>
      </c>
      <c r="D292" t="inlineStr">
        <is>
          <t xml:space="preserve">All grid/list screens (system-wide) — read-only query handlers</t>
        </is>
      </c>
      <c r="E292" t="inlineStr">
        <is>
          <t xml:space="preserve">EF change tracking on read-only grid queries: More than half of all grid/list query handlers across the system load and materialize entities with full EF Core change-tracking enabled even though these are read-only GraphQL query resolvers whose results are immediately mapped to DTOs a…</t>
        </is>
      </c>
      <c r="F292" t="inlineStr">
        <is>
          <t xml:space="preserve">Fix – Performance</t>
        </is>
      </c>
      <c r="G292" t="inlineStr">
        <is>
          <t xml:space="preserve">Medium</t>
        </is>
      </c>
      <c r="H292" t="inlineStr">
        <is>
          <t xml:space="preserve">Built – audit finding</t>
        </is>
      </c>
      <c r="I292">
        <v>2.0</v>
      </c>
      <c r="J292">
        <v>1.0</v>
      </c>
      <c r="K292">
        <v>3.0</v>
      </c>
      <c r="L292" t="inlineStr">
        <is>
          <t xml:space="preserve">Backlog ref #266 · verdict CONFIRMED</t>
        </is>
      </c>
    </row>
    <row r="293">
      <c r="A293">
        <v>282</v>
      </c>
      <c r="B293" t="inlineStr">
        <is>
          <t xml:space="preserve">Code Audit</t>
        </is>
      </c>
      <c r="C293" t="inlineStr">
        <is>
          <t xml:space="preserve">Performance &amp; Scalability</t>
        </is>
      </c>
      <c r="D293" t="inlineStr">
        <is>
          <t xml:space="preserve">Grid/list screens on core transactional tables (Donations, Cases)</t>
        </is>
      </c>
      <c r="E293" t="inlineStr">
        <is>
          <t xml:space="preserve">Database indexing for list-query shape: No composite (CompanyId, CreatedDate) or (CompanyId, StatusId) indexes exist on the highest-traffic transactional tables (GlobalDonation, Case), despite this being the actual filter+sort shape every grid list handler executes on every page…</t>
        </is>
      </c>
      <c r="F293" t="inlineStr">
        <is>
          <t xml:space="preserve">Fix – Performance</t>
        </is>
      </c>
      <c r="G293" t="inlineStr">
        <is>
          <t xml:space="preserve">Medium</t>
        </is>
      </c>
      <c r="H293" t="inlineStr">
        <is>
          <t xml:space="preserve">Built – audit finding</t>
        </is>
      </c>
      <c r="I293">
        <v>2.0</v>
      </c>
      <c r="J293">
        <v>1.0</v>
      </c>
      <c r="K293">
        <v>3.0</v>
      </c>
      <c r="L293" t="inlineStr">
        <is>
          <t xml:space="preserve">Backlog ref #267 · verdict ADJUSTED</t>
        </is>
      </c>
    </row>
    <row r="294">
      <c r="A294">
        <v>283</v>
      </c>
      <c r="B294" t="inlineStr">
        <is>
          <t xml:space="preserve">Code Audit</t>
        </is>
      </c>
      <c r="C294" t="inlineStr">
        <is>
          <t xml:space="preserve">Performance &amp; Scalability</t>
        </is>
      </c>
      <c r="D294" t="inlineStr">
        <is>
          <t xml:space="preserve">Membership renewals, email analytics, ambassador dashboard export screens</t>
        </is>
      </c>
      <c r="E294" t="inlineStr">
        <is>
          <t xml:space="preserve">Synchronous long-running export generation: Multi-step, multi-query report/export generation is done synchronously inline in the GraphQL request instead of being offloaded to the background-job infrastructure the team already uses for imports.</t>
        </is>
      </c>
      <c r="F294" t="inlineStr">
        <is>
          <t xml:space="preserve">Fix – Performance</t>
        </is>
      </c>
      <c r="G294" t="inlineStr">
        <is>
          <t xml:space="preserve">Medium</t>
        </is>
      </c>
      <c r="H294" t="inlineStr">
        <is>
          <t xml:space="preserve">Built – audit finding</t>
        </is>
      </c>
      <c r="I294">
        <v>2.0</v>
      </c>
      <c r="J294">
        <v>1.0</v>
      </c>
      <c r="K294">
        <v>3.0</v>
      </c>
      <c r="L294" t="inlineStr">
        <is>
          <t xml:space="preserve">Backlog ref #268 · verdict CONFIRMED</t>
        </is>
      </c>
    </row>
    <row r="295">
      <c r="A295">
        <v>284</v>
      </c>
      <c r="B295" t="inlineStr">
        <is>
          <t xml:space="preserve">Code Audit</t>
        </is>
      </c>
      <c r="C295" t="inlineStr">
        <is>
          <t xml:space="preserve">Prayer · Certificate · General Masters</t>
        </is>
      </c>
      <c r="D295" t="inlineStr">
        <is>
          <t xml:space="preserve">Certificate Management — Process tab</t>
        </is>
      </c>
      <c r="E295" t="inlineStr">
        <is>
          <t xml:space="preserve">CertificateTemplate IsActive/Toggle has no effect on which template Print/Preview use: An administrator who deactivates a certificate template (e.g. because it contains an error or outdated branding) via the Toggle action has no actual effect on live Print/Preview output — the most-recently-created template row for that type…</t>
        </is>
      </c>
      <c r="F295" t="inlineStr">
        <is>
          <t xml:space="preserve">Fix</t>
        </is>
      </c>
      <c r="G295" t="inlineStr">
        <is>
          <t xml:space="preserve">Medium</t>
        </is>
      </c>
      <c r="H295" t="inlineStr">
        <is>
          <t xml:space="preserve">Built – audit finding</t>
        </is>
      </c>
      <c r="I295">
        <v>1.5</v>
      </c>
      <c r="J295">
        <v>0.75</v>
      </c>
      <c r="K295">
        <v>2.25</v>
      </c>
      <c r="L295" t="inlineStr">
        <is>
          <t xml:space="preserve">Backlog ref #269 · verdict CONFIRMED</t>
        </is>
      </c>
    </row>
    <row r="296">
      <c r="A296">
        <v>285</v>
      </c>
      <c r="B296" t="inlineStr">
        <is>
          <t xml:space="preserve">Code Audit</t>
        </is>
      </c>
      <c r="C296" t="inlineStr">
        <is>
          <t xml:space="preserve">Prayer · Certificate · General Masters</t>
        </is>
      </c>
      <c r="D296" t="inlineStr">
        <is>
          <t xml:space="preserve">Certificate Management — Process/Print tab</t>
        </is>
      </c>
      <c r="E296" t="inlineStr">
        <is>
          <t xml:space="preserve">No template snapshot stored on ContactCertificate at Generate/Approve time: If an administrator edits the CertificateTemplate's HtmlContent (wording, amounts formatting, legal disclaimer) after a certificate has already been Generated/Approved for a donor, re-printing or previewing that same certificate later rend…</t>
        </is>
      </c>
      <c r="F296" t="inlineStr">
        <is>
          <t xml:space="preserve">Fix – Data Integrity</t>
        </is>
      </c>
      <c r="G296" t="inlineStr">
        <is>
          <t xml:space="preserve">Medium</t>
        </is>
      </c>
      <c r="H296" t="inlineStr">
        <is>
          <t xml:space="preserve">Built – audit finding</t>
        </is>
      </c>
      <c r="I296">
        <v>2.0</v>
      </c>
      <c r="J296">
        <v>1.0</v>
      </c>
      <c r="K296">
        <v>3.0</v>
      </c>
      <c r="L296" t="inlineStr">
        <is>
          <t xml:space="preserve">Backlog ref #270 · verdict CONFIRMED</t>
        </is>
      </c>
    </row>
    <row r="297">
      <c r="A297">
        <v>286</v>
      </c>
      <c r="B297" t="inlineStr">
        <is>
          <t xml:space="preserve">Code Audit</t>
        </is>
      </c>
      <c r="C297" t="inlineStr">
        <is>
          <t xml:space="preserve">Prayer · Certificate · General Masters</t>
        </is>
      </c>
      <c r="D297" t="inlineStr">
        <is>
          <t xml:space="preserve">Prayer Request Entry / Reply Queue / Review Reply</t>
        </is>
      </c>
      <c r="E297" t="inlineStr">
        <is>
          <t xml:space="preserve">Prayer Request moderation status transitions have no prior-state guard: There is nothing stopping an Archived or Answered prayer request from being 're-approved', or an Approved request from being 'archived' and then 're-approved' again, etc. — any status can transition to any other status at any time via thes…</t>
        </is>
      </c>
      <c r="F297" t="inlineStr">
        <is>
          <t xml:space="preserve">Fix – Business Logic</t>
        </is>
      </c>
      <c r="G297" t="inlineStr">
        <is>
          <t xml:space="preserve">Medium</t>
        </is>
      </c>
      <c r="H297" t="inlineStr">
        <is>
          <t xml:space="preserve">Built – audit finding</t>
        </is>
      </c>
      <c r="I297">
        <v>2.0</v>
      </c>
      <c r="J297">
        <v>1.0</v>
      </c>
      <c r="K297">
        <v>3.0</v>
      </c>
      <c r="L297" t="inlineStr">
        <is>
          <t xml:space="preserve">Backlog ref #271 · verdict CONFIRMED</t>
        </is>
      </c>
    </row>
    <row r="298">
      <c r="A298">
        <v>287</v>
      </c>
      <c r="B298" t="inlineStr">
        <is>
          <t xml:space="preserve">Code Audit</t>
        </is>
      </c>
      <c r="C298" t="inlineStr">
        <is>
          <t xml:space="preserve">Prayer · Certificate · General Masters</t>
        </is>
      </c>
      <c r="D298" t="inlineStr">
        <is>
          <t xml:space="preserve">Prayer Request Page (public) / Prayer Request Entry</t>
        </is>
      </c>
      <c r="E298" t="inlineStr">
        <is>
          <t xml:space="preserve">Public prayer submission resolves tenant via 'first active company', not by page slug: In any deployment hosting more than one active tenant/company, every public prayer-submission and every public prayer-page-by-slug lookup resolves to whichever company happens to sort first by CompanyId, regardless of which tenant's page/s…</t>
        </is>
      </c>
      <c r="F298" t="inlineStr">
        <is>
          <t xml:space="preserve">Fix</t>
        </is>
      </c>
      <c r="G298" t="inlineStr">
        <is>
          <t xml:space="preserve">Medium</t>
        </is>
      </c>
      <c r="H298" t="inlineStr">
        <is>
          <t xml:space="preserve">Built – audit finding</t>
        </is>
      </c>
      <c r="I298">
        <v>1.5</v>
      </c>
      <c r="J298">
        <v>0.75</v>
      </c>
      <c r="K298">
        <v>2.25</v>
      </c>
      <c r="L298" t="inlineStr">
        <is>
          <t xml:space="preserve">Backlog ref #272 · verdict CONFIRMED</t>
        </is>
      </c>
    </row>
    <row r="299">
      <c r="A299">
        <v>288</v>
      </c>
      <c r="B299" t="inlineStr">
        <is>
          <t xml:space="preserve">Code Audit</t>
        </is>
      </c>
      <c r="C299" t="inlineStr">
        <is>
          <t xml:space="preserve">Prayer · Certificate · General Masters</t>
        </is>
      </c>
      <c r="D299" t="inlineStr">
        <is>
          <t xml:space="preserve">Prayer Request Reply Queue / Review Reply</t>
        </is>
      </c>
      <c r="E299" t="inlineStr">
        <is>
          <t xml:space="preserve">Approved prayer replies are never actually sent to the submitter: The reviewed BE code path does terminate at Status='Approved' with SentAt/DeliveryRefId permanently null and no transport integration — this part of the finding is accurate. However this is an explicitly documented, deliberately phased sco…</t>
        </is>
      </c>
      <c r="F299" t="inlineStr">
        <is>
          <t xml:space="preserve">Fix – Business Logic</t>
        </is>
      </c>
      <c r="G299" t="inlineStr">
        <is>
          <t xml:space="preserve">Medium</t>
        </is>
      </c>
      <c r="H299" t="inlineStr">
        <is>
          <t xml:space="preserve">Built – audit finding</t>
        </is>
      </c>
      <c r="I299">
        <v>2.0</v>
      </c>
      <c r="J299">
        <v>1.0</v>
      </c>
      <c r="K299">
        <v>3.0</v>
      </c>
      <c r="L299" t="inlineStr">
        <is>
          <t xml:space="preserve">Backlog ref #273 · verdict ADJUSTED</t>
        </is>
      </c>
    </row>
    <row r="300">
      <c r="A300">
        <v>289</v>
      </c>
      <c r="B300" t="inlineStr">
        <is>
          <t xml:space="preserve">Code Audit</t>
        </is>
      </c>
      <c r="C300" t="inlineStr">
        <is>
          <t xml:space="preserve">QA &amp; Testing Gaps</t>
        </is>
      </c>
      <c r="D300" t="inlineStr">
        <is>
          <t xml:space="preserve">E2E test harness (all specs)</t>
        </is>
      </c>
      <c r="E300" t="inlineStr">
        <is>
          <t xml:space="preserve">Test data isolation / cleanup: Test data cleanup is not actually implemented for the one screen that has a spec — every Playwright run against a shared/persistent environment leaves `_TEST_*` Branch rows behind permanently.</t>
        </is>
      </c>
      <c r="F300" t="inlineStr">
        <is>
          <t xml:space="preserve">Testing</t>
        </is>
      </c>
      <c r="G300" t="inlineStr">
        <is>
          <t xml:space="preserve">Medium</t>
        </is>
      </c>
      <c r="H300" t="inlineStr">
        <is>
          <t xml:space="preserve">Built – audit finding</t>
        </is>
      </c>
      <c r="I300">
        <v>2.5</v>
      </c>
      <c r="J300">
        <v>1.25</v>
      </c>
      <c r="K300">
        <v>3.75</v>
      </c>
      <c r="L300" t="inlineStr">
        <is>
          <t xml:space="preserve">Backlog ref #274 · verdict CONFIRMED</t>
        </is>
      </c>
    </row>
    <row r="301">
      <c r="A301">
        <v>290</v>
      </c>
      <c r="B301" t="inlineStr">
        <is>
          <t xml:space="preserve">Code Audit</t>
        </is>
      </c>
      <c r="C301" t="inlineStr">
        <is>
          <t xml:space="preserve">Reports</t>
        </is>
      </c>
      <c r="D301" t="inlineStr">
        <is>
          <t xml:space="preserve">Donor Retention Dashboard</t>
        </is>
      </c>
      <c r="E301" t="inlineStr">
        <is>
          <t xml:space="preserve">Cohort Matrix widget tenant scoping: For a SuperAdmin user viewing this specific widget, p_company_id is bound as NULL, but the SQL's plain equality comparison NULL = anything evaluates to false/unknown in Postgres, so the WHERE clause excludes every row.</t>
        </is>
      </c>
      <c r="F301" t="inlineStr">
        <is>
          <t xml:space="preserve">Fix</t>
        </is>
      </c>
      <c r="G301" t="inlineStr">
        <is>
          <t xml:space="preserve">Medium</t>
        </is>
      </c>
      <c r="H301" t="inlineStr">
        <is>
          <t xml:space="preserve">Built – audit finding</t>
        </is>
      </c>
      <c r="I301">
        <v>1.5</v>
      </c>
      <c r="J301">
        <v>0.75</v>
      </c>
      <c r="K301">
        <v>2.25</v>
      </c>
      <c r="L301" t="inlineStr">
        <is>
          <t xml:space="preserve">Backlog ref #275 · verdict CONFIRMED</t>
        </is>
      </c>
    </row>
    <row r="302">
      <c r="A302">
        <v>291</v>
      </c>
      <c r="B302" t="inlineStr">
        <is>
          <t xml:space="preserve">Code Audit</t>
        </is>
      </c>
      <c r="C302" t="inlineStr">
        <is>
          <t xml:space="preserve">Reports</t>
        </is>
      </c>
      <c r="D302" t="inlineStr">
        <is>
          <t xml:space="preserve">Generate Report / all report screens in this module</t>
        </is>
      </c>
      <c r="E302" t="inlineStr">
        <is>
          <t xml:space="preserve">Runtime/E2E verification of shipped screens: No screen in the Reports module scope has a recorded/confirmed runtime or end-to-end test pass; only dotnet build / tsc --noEmit compile-check success is confirmed anywhere in the tracked history.</t>
        </is>
      </c>
      <c r="F302" t="inlineStr">
        <is>
          <t xml:space="preserve">Testing</t>
        </is>
      </c>
      <c r="G302" t="inlineStr">
        <is>
          <t xml:space="preserve">Medium</t>
        </is>
      </c>
      <c r="H302" t="inlineStr">
        <is>
          <t xml:space="preserve">Built – audit finding</t>
        </is>
      </c>
      <c r="I302">
        <v>2.5</v>
      </c>
      <c r="J302">
        <v>1.25</v>
      </c>
      <c r="K302">
        <v>3.75</v>
      </c>
      <c r="L302" t="inlineStr">
        <is>
          <t xml:space="preserve">Backlog ref #276 · verdict CONFIRMED</t>
        </is>
      </c>
    </row>
    <row r="303">
      <c r="A303">
        <v>292</v>
      </c>
      <c r="B303" t="inlineStr">
        <is>
          <t xml:space="preserve">Code Audit</t>
        </is>
      </c>
      <c r="C303" t="inlineStr">
        <is>
          <t xml:space="preserve">Reports</t>
        </is>
      </c>
      <c r="D303" t="inlineStr">
        <is>
          <t xml:space="preserve">HTML Report Viewer</t>
        </is>
      </c>
      <c r="E303" t="inlineStr">
        <is>
          <t xml:space="preserve">Email report action: The backend still fabricates Success=true rather than returning an explicit non-success/placeholder status, which is bad API hygiene (a direct API/GraphQL caller bypassing the FE would see a genuine-looking success), but the originally rep…</t>
        </is>
      </c>
      <c r="F303" t="inlineStr">
        <is>
          <t xml:space="preserve">Fix</t>
        </is>
      </c>
      <c r="G303" t="inlineStr">
        <is>
          <t xml:space="preserve">Medium</t>
        </is>
      </c>
      <c r="H303" t="inlineStr">
        <is>
          <t xml:space="preserve">Built – audit finding</t>
        </is>
      </c>
      <c r="I303">
        <v>1.5</v>
      </c>
      <c r="J303">
        <v>0.75</v>
      </c>
      <c r="K303">
        <v>2.25</v>
      </c>
      <c r="L303" t="inlineStr">
        <is>
          <t xml:space="preserve">Backlog ref #277 · verdict ADJUSTED</t>
        </is>
      </c>
    </row>
    <row r="304">
      <c r="A304">
        <v>293</v>
      </c>
      <c r="B304" t="inlineStr">
        <is>
          <t xml:space="preserve">Code Audit</t>
        </is>
      </c>
      <c r="C304" t="inlineStr">
        <is>
          <t xml:space="preserve">Reports</t>
        </is>
      </c>
      <c r="D304" t="inlineStr">
        <is>
          <t xml:space="preserve">HTML Report Viewer</t>
        </is>
      </c>
      <c r="E304" t="inlineStr">
        <is>
          <t xml:space="preserve">PDF export and Excel export actions: Confirmed the backend export is unimplemented (real gap), but the originally reported failure mode — 'FE receives what looks like a valid download URL and will presumably attempt to open/download it, hitting a domain that does not exist' —…</t>
        </is>
      </c>
      <c r="F304" t="inlineStr">
        <is>
          <t xml:space="preserve">Fix</t>
        </is>
      </c>
      <c r="G304" t="inlineStr">
        <is>
          <t xml:space="preserve">Medium</t>
        </is>
      </c>
      <c r="H304" t="inlineStr">
        <is>
          <t xml:space="preserve">Built – audit finding</t>
        </is>
      </c>
      <c r="I304">
        <v>1.5</v>
      </c>
      <c r="J304">
        <v>0.75</v>
      </c>
      <c r="K304">
        <v>2.25</v>
      </c>
      <c r="L304" t="inlineStr">
        <is>
          <t xml:space="preserve">Backlog ref #278 · verdict ADJUSTED</t>
        </is>
      </c>
    </row>
    <row r="305">
      <c r="A305">
        <v>294</v>
      </c>
      <c r="B305" t="inlineStr">
        <is>
          <t xml:space="preserve">Code Audit</t>
        </is>
      </c>
      <c r="C305" t="inlineStr">
        <is>
          <t xml:space="preserve">Root · Auth · Layout · Dashboards</t>
        </is>
      </c>
      <c r="D305" t="inlineStr">
        <is>
          <t xml:space="preserve">Login</t>
        </is>
      </c>
      <c r="E305" t="inlineStr">
        <is>
          <t xml:space="preserve">Post-login session-ready check: The check now gets at most one attempt plus a single 500ms wait before giving up and showing `toast.warning('Session initialization timeout')` — yet the code navigates to the dashboard anyway either way, making the warning toast both frequ…</t>
        </is>
      </c>
      <c r="F305" t="inlineStr">
        <is>
          <t xml:space="preserve">Fix</t>
        </is>
      </c>
      <c r="G305" t="inlineStr">
        <is>
          <t xml:space="preserve">Medium</t>
        </is>
      </c>
      <c r="H305" t="inlineStr">
        <is>
          <t xml:space="preserve">Built – audit finding</t>
        </is>
      </c>
      <c r="I305">
        <v>1.5</v>
      </c>
      <c r="J305">
        <v>0.75</v>
      </c>
      <c r="K305">
        <v>2.25</v>
      </c>
      <c r="L305" t="inlineStr">
        <is>
          <t xml:space="preserve">Backlog ref #279 · verdict CONFIRMED</t>
        </is>
      </c>
    </row>
    <row r="306">
      <c r="A306">
        <v>295</v>
      </c>
      <c r="B306" t="inlineStr">
        <is>
          <t xml:space="preserve">Code Audit</t>
        </is>
      </c>
      <c r="C306" t="inlineStr">
        <is>
          <t xml:space="preserve">Root · Auth · Layout · Dashboards</t>
        </is>
      </c>
      <c r="D306" t="inlineStr">
        <is>
          <t xml:space="preserve">Root / connectivity UX</t>
        </is>
      </c>
      <c r="E306" t="inlineStr">
        <is>
          <t xml:space="preserve">NetworkStatusProvider (offline detection overlay): The root locale layout has both the `import` and the `&lt;NetworkStatusProvider&gt;` JSX usage commented out, so this entire system is never mounted and is completely inert in production.</t>
        </is>
      </c>
      <c r="F306" t="inlineStr">
        <is>
          <t xml:space="preserve">Fix – UI/UX</t>
        </is>
      </c>
      <c r="G306" t="inlineStr">
        <is>
          <t xml:space="preserve">Medium</t>
        </is>
      </c>
      <c r="H306" t="inlineStr">
        <is>
          <t xml:space="preserve">Built – audit finding</t>
        </is>
      </c>
      <c r="I306">
        <v>1.0</v>
      </c>
      <c r="J306">
        <v>0.5</v>
      </c>
      <c r="K306">
        <v>1.5</v>
      </c>
      <c r="L306" t="inlineStr">
        <is>
          <t xml:space="preserve">Backlog ref #280 · verdict CONFIRMED</t>
        </is>
      </c>
    </row>
    <row r="307">
      <c r="A307">
        <v>296</v>
      </c>
      <c r="B307" t="inlineStr">
        <is>
          <t xml:space="preserve">Code Audit</t>
        </is>
      </c>
      <c r="C307" t="inlineStr">
        <is>
          <t xml:space="preserve">Root · Auth · Layout · Dashboards</t>
        </is>
      </c>
      <c r="D307" t="inlineStr">
        <is>
          <t xml:space="preserve">Root / Logout &amp; shared-device hygiene</t>
        </is>
      </c>
      <c r="E307" t="inlineStr">
        <is>
          <t xml:space="preserve">localStorage purge on logout: `global-store` is never removed on logout, so the previous user's `staffId`/`companyId`/`companyName`/`companyCode`/last-active module remain in localStorage after logout on a shared/kiosk browser.</t>
        </is>
      </c>
      <c r="F307" t="inlineStr">
        <is>
          <t xml:space="preserve">Fix</t>
        </is>
      </c>
      <c r="G307" t="inlineStr">
        <is>
          <t xml:space="preserve">Medium</t>
        </is>
      </c>
      <c r="H307" t="inlineStr">
        <is>
          <t xml:space="preserve">Built – audit finding</t>
        </is>
      </c>
      <c r="I307">
        <v>1.5</v>
      </c>
      <c r="J307">
        <v>0.75</v>
      </c>
      <c r="K307">
        <v>2.25</v>
      </c>
      <c r="L307" t="inlineStr">
        <is>
          <t xml:space="preserve">Backlog ref #281 · verdict CONFIRMED</t>
        </is>
      </c>
    </row>
    <row r="308">
      <c r="A308">
        <v>297</v>
      </c>
      <c r="B308" t="inlineStr">
        <is>
          <t xml:space="preserve">Code Audit</t>
        </is>
      </c>
      <c r="C308" t="inlineStr">
        <is>
          <t xml:space="preserve">Root · Auth · Layout · Dashboards</t>
        </is>
      </c>
      <c r="D308" t="inlineStr">
        <is>
          <t xml:space="preserve">Root / Route protection</t>
        </is>
      </c>
      <c r="E308" t="inlineStr">
        <is>
          <t xml:space="preserve">Client-side RouteGuard: The component gives every appearance in the codebase of enforcing client-side auth (it's literally named RouteGuard and passed `requireAuth`), but performs no check at all. The only real enforcement is the server-side `authorized()` callba…</t>
        </is>
      </c>
      <c r="F308" t="inlineStr">
        <is>
          <t xml:space="preserve">Fix – Security</t>
        </is>
      </c>
      <c r="G308" t="inlineStr">
        <is>
          <t xml:space="preserve">Medium</t>
        </is>
      </c>
      <c r="H308" t="inlineStr">
        <is>
          <t xml:space="preserve">Built – audit finding</t>
        </is>
      </c>
      <c r="I308">
        <v>2.0</v>
      </c>
      <c r="J308">
        <v>1.0</v>
      </c>
      <c r="K308">
        <v>3.0</v>
      </c>
      <c r="L308" t="inlineStr">
        <is>
          <t xml:space="preserve">Backlog ref #282 · verdict CONFIRMED</t>
        </is>
      </c>
    </row>
    <row r="309">
      <c r="A309">
        <v>298</v>
      </c>
      <c r="B309" t="inlineStr">
        <is>
          <t xml:space="preserve">Code Audit</t>
        </is>
      </c>
      <c r="C309" t="inlineStr">
        <is>
          <t xml:space="preserve">Root · Auth · Layout · Dashboards</t>
        </is>
      </c>
      <c r="D309" t="inlineStr">
        <is>
          <t xml:space="preserve">Root / Session issuance</t>
        </is>
      </c>
      <c r="E309" t="inlineStr">
        <is>
          <t xml:space="preserve">NextAuth Credentials `authorize()`: Because `authorize()` trusts `userData` unconditionally, any client-side JS call to `signIn('credentials', { userName: 'x', password: 'y', userData: JSON.stringify({ accessToken: 'anything' }) })` will successfully mint a valid NextAuth se…</t>
        </is>
      </c>
      <c r="F309" t="inlineStr">
        <is>
          <t xml:space="preserve">Fix – Security</t>
        </is>
      </c>
      <c r="G309" t="inlineStr">
        <is>
          <t xml:space="preserve">Medium</t>
        </is>
      </c>
      <c r="H309" t="inlineStr">
        <is>
          <t xml:space="preserve">Built – audit finding</t>
        </is>
      </c>
      <c r="I309">
        <v>2.0</v>
      </c>
      <c r="J309">
        <v>1.0</v>
      </c>
      <c r="K309">
        <v>3.0</v>
      </c>
      <c r="L309" t="inlineStr">
        <is>
          <t xml:space="preserve">Backlog ref #283 · verdict CONFIRMED</t>
        </is>
      </c>
    </row>
    <row r="310">
      <c r="A310">
        <v>299</v>
      </c>
      <c r="B310" t="inlineStr">
        <is>
          <t xml:space="preserve">Code Audit</t>
        </is>
      </c>
      <c r="C310" t="inlineStr">
        <is>
          <t xml:space="preserve">Security &amp; Access Control</t>
        </is>
      </c>
      <c r="D310" t="inlineStr">
        <is>
          <t xml:space="preserve">Contacts / Contact Update</t>
        </is>
      </c>
      <c r="E310" t="inlineStr">
        <is>
          <t xml:space="preserve">Client-settable LastDonationDate on Contact: ContactRequestDto exposes LastDonationDate as a freely client-settable field that flows straight through the Adapt() call with no server-side recomputation or validation against real donation records.</t>
        </is>
      </c>
      <c r="F310" t="inlineStr">
        <is>
          <t xml:space="preserve">Fix</t>
        </is>
      </c>
      <c r="G310" t="inlineStr">
        <is>
          <t xml:space="preserve">Medium</t>
        </is>
      </c>
      <c r="H310" t="inlineStr">
        <is>
          <t xml:space="preserve">Built – audit finding</t>
        </is>
      </c>
      <c r="I310">
        <v>1.5</v>
      </c>
      <c r="J310">
        <v>0.75</v>
      </c>
      <c r="K310">
        <v>2.25</v>
      </c>
      <c r="L310" t="inlineStr">
        <is>
          <t xml:space="preserve">Backlog ref #284 · verdict CONFIRMED</t>
        </is>
      </c>
    </row>
    <row r="311">
      <c r="A311">
        <v>300</v>
      </c>
      <c r="B311" t="inlineStr">
        <is>
          <t xml:space="preserve">Code Audit</t>
        </is>
      </c>
      <c r="C311" t="inlineStr">
        <is>
          <t xml:space="preserve">Security &amp; Access Control</t>
        </is>
      </c>
      <c r="D311" t="inlineStr">
        <is>
          <t xml:space="preserve">CreateRefreshToken command authorization</t>
        </is>
      </c>
      <c r="E311" t="inlineStr">
        <is>
          <t xml:space="preserve">Refresh token creation authorization: CreateRefreshTokenCommand's [CustomAuthorize] attribute is commented out, so the GraphQL-exposed create-refresh-token operation has no server-side authorization gate; it accepts an arbitrary UserId in RefreshTokenDto with no verification t…</t>
        </is>
      </c>
      <c r="F311" t="inlineStr">
        <is>
          <t xml:space="preserve">Fix – Security</t>
        </is>
      </c>
      <c r="G311" t="inlineStr">
        <is>
          <t xml:space="preserve">Medium</t>
        </is>
      </c>
      <c r="H311" t="inlineStr">
        <is>
          <t xml:space="preserve">Built – audit finding</t>
        </is>
      </c>
      <c r="I311">
        <v>2.0</v>
      </c>
      <c r="J311">
        <v>1.0</v>
      </c>
      <c r="K311">
        <v>3.0</v>
      </c>
      <c r="L311" t="inlineStr">
        <is>
          <t xml:space="preserve">Backlog ref #285 · verdict CONFIRMED</t>
        </is>
      </c>
    </row>
    <row r="312">
      <c r="A312">
        <v>301</v>
      </c>
      <c r="B312" t="inlineStr">
        <is>
          <t xml:space="preserve">Code Audit</t>
        </is>
      </c>
      <c r="C312" t="inlineStr">
        <is>
          <t xml:space="preserve">Security &amp; Access Control</t>
        </is>
      </c>
      <c r="D312" t="inlineStr">
        <is>
          <t xml:space="preserve">Frontend route protection (Next.js middleware)</t>
        </is>
      </c>
      <c r="E312" t="inlineStr">
        <is>
          <t xml:space="preserve">Frontend edge route protection: middleware.ts only performs locale-prefix redirection via auth((req) =&gt; {...}); it contains no session/authentication check or redirect-to-login logic for protected routes, meaning route-level access control is not centrally enforced at th…</t>
        </is>
      </c>
      <c r="F312" t="inlineStr">
        <is>
          <t xml:space="preserve">Fix – Security</t>
        </is>
      </c>
      <c r="G312" t="inlineStr">
        <is>
          <t xml:space="preserve">Medium</t>
        </is>
      </c>
      <c r="H312" t="inlineStr">
        <is>
          <t xml:space="preserve">Built – audit finding</t>
        </is>
      </c>
      <c r="I312">
        <v>2.0</v>
      </c>
      <c r="J312">
        <v>1.0</v>
      </c>
      <c r="K312">
        <v>3.0</v>
      </c>
      <c r="L312" t="inlineStr">
        <is>
          <t xml:space="preserve">Backlog ref #286 · verdict CONFIRMED</t>
        </is>
      </c>
    </row>
    <row r="313">
      <c r="A313">
        <v>302</v>
      </c>
      <c r="B313" t="inlineStr">
        <is>
          <t xml:space="preserve">Code Audit</t>
        </is>
      </c>
      <c r="C313" t="inlineStr">
        <is>
          <t xml:space="preserve">Security &amp; Access Control</t>
        </is>
      </c>
      <c r="D313" t="inlineStr">
        <is>
          <t xml:space="preserve">Global / All GraphQL error responses</t>
        </is>
      </c>
      <c r="E313" t="inlineStr">
        <is>
          <t xml:space="preserve">Raw exception leakage in GraphQL errors: Raw database/driver exception messages (which can include table/column/constraint names and, depending on Npgsql 'Include Error Detail' settings, literal offending values such as duplicate email/phone) are forwarded unmodified to API clien…</t>
        </is>
      </c>
      <c r="F313" t="inlineStr">
        <is>
          <t xml:space="preserve">Fix</t>
        </is>
      </c>
      <c r="G313" t="inlineStr">
        <is>
          <t xml:space="preserve">Medium</t>
        </is>
      </c>
      <c r="H313" t="inlineStr">
        <is>
          <t xml:space="preserve">Built – audit finding</t>
        </is>
      </c>
      <c r="I313">
        <v>1.5</v>
      </c>
      <c r="J313">
        <v>0.75</v>
      </c>
      <c r="K313">
        <v>2.25</v>
      </c>
      <c r="L313" t="inlineStr">
        <is>
          <t xml:space="preserve">Backlog ref #287 · verdict CONFIRMED</t>
        </is>
      </c>
    </row>
    <row r="314">
      <c r="A314">
        <v>303</v>
      </c>
      <c r="B314" t="inlineStr">
        <is>
          <t xml:space="preserve">Code Audit</t>
        </is>
      </c>
      <c r="C314" t="inlineStr">
        <is>
          <t xml:space="preserve">Security &amp; Access Control</t>
        </is>
      </c>
      <c r="D314" t="inlineStr">
        <is>
          <t xml:space="preserve">JWT access token lifetime vs. reported expiry</t>
        </is>
      </c>
      <c r="E314" t="inlineStr">
        <is>
          <t xml:space="preserve">JWT access token lifetime disclosure mismatch: CreateToken sets the actual JWT Expires = DateTime.UtcNow.AddDays(1) (24-hour token validity) while TokenResponseDto.ExpiresIn is computed as (DateTime.UtcNow.AddMinutes(15) - DateTime.UtcNow).TotalSeconds (900s) — the client is told the t…</t>
        </is>
      </c>
      <c r="F314" t="inlineStr">
        <is>
          <t xml:space="preserve">Fix – Security</t>
        </is>
      </c>
      <c r="G314" t="inlineStr">
        <is>
          <t xml:space="preserve">Medium</t>
        </is>
      </c>
      <c r="H314" t="inlineStr">
        <is>
          <t xml:space="preserve">Built – audit finding</t>
        </is>
      </c>
      <c r="I314">
        <v>2.0</v>
      </c>
      <c r="J314">
        <v>1.0</v>
      </c>
      <c r="K314">
        <v>3.0</v>
      </c>
      <c r="L314" t="inlineStr">
        <is>
          <t xml:space="preserve">Backlog ref #288 · verdict CONFIRMED</t>
        </is>
      </c>
    </row>
    <row r="315">
      <c r="A315">
        <v>304</v>
      </c>
      <c r="B315" t="inlineStr">
        <is>
          <t xml:space="preserve">Code Audit</t>
        </is>
      </c>
      <c r="C315" t="inlineStr">
        <is>
          <t xml:space="preserve">Security &amp; Access Control</t>
        </is>
      </c>
      <c r="D315" t="inlineStr">
        <is>
          <t xml:space="preserve">RevokeRefreshToken / SwitchCompany target-user parameter</t>
        </is>
      </c>
      <c r="E315" t="inlineStr">
        <is>
          <t xml:space="preserve">Refresh token revocation scope check: RevokeRefreshTokenCommand is gated only by a coarse RBAC capability check (DecoratorAuthModules.RefreshToken, Permissions.Delete) and accepts an arbitrary userId argument from the caller with no verification that the target equals the auth…</t>
        </is>
      </c>
      <c r="F315" t="inlineStr">
        <is>
          <t xml:space="preserve">Fix – Security</t>
        </is>
      </c>
      <c r="G315" t="inlineStr">
        <is>
          <t xml:space="preserve">Medium</t>
        </is>
      </c>
      <c r="H315" t="inlineStr">
        <is>
          <t xml:space="preserve">Built – audit finding</t>
        </is>
      </c>
      <c r="I315">
        <v>2.0</v>
      </c>
      <c r="J315">
        <v>1.0</v>
      </c>
      <c r="K315">
        <v>3.0</v>
      </c>
      <c r="L315" t="inlineStr">
        <is>
          <t xml:space="preserve">Backlog ref #289 · verdict CONFIRMED</t>
        </is>
      </c>
    </row>
    <row r="316">
      <c r="A316">
        <v>305</v>
      </c>
      <c r="B316" t="inlineStr">
        <is>
          <t xml:space="preserve">Code Audit</t>
        </is>
      </c>
      <c r="C316" t="inlineStr">
        <is>
          <t xml:space="preserve">Settings &amp; Configuration</t>
        </is>
      </c>
      <c r="D316" t="inlineStr">
        <is>
          <t xml:space="preserve">External Pages — Online Donation Page (public submit)</t>
        </is>
      </c>
      <c r="E316" t="inlineStr">
        <is>
          <t xml:space="preserve">CSRF token validation: Any caller can pass an arbitrary 16+ character string as CsrfToken and pass this check; there is no verification that the token matches a value the server actually issued to that browser session.</t>
        </is>
      </c>
      <c r="F316" t="inlineStr">
        <is>
          <t xml:space="preserve">Fix – Security</t>
        </is>
      </c>
      <c r="G316" t="inlineStr">
        <is>
          <t xml:space="preserve">Medium</t>
        </is>
      </c>
      <c r="H316" t="inlineStr">
        <is>
          <t xml:space="preserve">Built – audit finding</t>
        </is>
      </c>
      <c r="I316">
        <v>2.0</v>
      </c>
      <c r="J316">
        <v>1.0</v>
      </c>
      <c r="K316">
        <v>3.0</v>
      </c>
      <c r="L316" t="inlineStr">
        <is>
          <t xml:space="preserve">Backlog ref #290 · verdict CONFIRMED</t>
        </is>
      </c>
    </row>
    <row r="317">
      <c r="A317">
        <v>306</v>
      </c>
      <c r="B317" t="inlineStr">
        <is>
          <t xml:space="preserve">Code Audit</t>
        </is>
      </c>
      <c r="C317" t="inlineStr">
        <is>
          <t xml:space="preserve">Settings &amp; Configuration</t>
        </is>
      </c>
      <c r="D317" t="inlineStr">
        <is>
          <t xml:space="preserve">Online Donation Page (Public) — Initiate Donation</t>
        </is>
      </c>
      <c r="E317" t="inlineStr">
        <is>
          <t xml:space="preserve">InitiateOnlineDonationCommand — reCAPTCHA bot-detection: There is no functioning bot/automated-traffic detection on the public, anonymous donation-initiation endpoint — the reCAPTCHA score check is a permanently-passing placeholder, so this specific layer of defense contributes nothing.</t>
        </is>
      </c>
      <c r="F317" t="inlineStr">
        <is>
          <t xml:space="preserve">Fix – Security</t>
        </is>
      </c>
      <c r="G317" t="inlineStr">
        <is>
          <t xml:space="preserve">Medium</t>
        </is>
      </c>
      <c r="H317" t="inlineStr">
        <is>
          <t xml:space="preserve">Built – audit finding</t>
        </is>
      </c>
      <c r="I317">
        <v>2.0</v>
      </c>
      <c r="J317">
        <v>1.0</v>
      </c>
      <c r="K317">
        <v>3.0</v>
      </c>
      <c r="L317" t="inlineStr">
        <is>
          <t xml:space="preserve">Backlog ref #291 · verdict CONFIRMED</t>
        </is>
      </c>
    </row>
    <row r="318">
      <c r="A318">
        <v>307</v>
      </c>
      <c r="B318" t="inlineStr">
        <is>
          <t xml:space="preserve">Code Audit</t>
        </is>
      </c>
      <c r="C318" t="inlineStr">
        <is>
          <t xml:space="preserve">Settings &amp; Configuration</t>
        </is>
      </c>
      <c r="D318" t="inlineStr">
        <is>
          <t xml:space="preserve">Region Hierarchy (Settings)</t>
        </is>
      </c>
      <c r="E318" t="inlineStr">
        <is>
          <t xml:space="preserve">Single-node Create/Update/Delete: An admin cannot correct a single misspelled city, merge a duplicate locality, or delete an unused pincode without re-running a full CSV import — `RegionUsageGuard.EnsureNotInUseAsync` is dead code with an explicit doc comment stating it is…</t>
        </is>
      </c>
      <c r="F318" t="inlineStr">
        <is>
          <t xml:space="preserve">Fix</t>
        </is>
      </c>
      <c r="G318" t="inlineStr">
        <is>
          <t xml:space="preserve">Medium</t>
        </is>
      </c>
      <c r="H318" t="inlineStr">
        <is>
          <t xml:space="preserve">Built – audit finding</t>
        </is>
      </c>
      <c r="I318">
        <v>1.5</v>
      </c>
      <c r="J318">
        <v>0.75</v>
      </c>
      <c r="K318">
        <v>2.25</v>
      </c>
      <c r="L318" t="inlineStr">
        <is>
          <t xml:space="preserve">Backlog ref #292 · verdict CONFIRMED</t>
        </is>
      </c>
    </row>
    <row r="319">
      <c r="A319">
        <v>308</v>
      </c>
      <c r="B319" t="inlineStr">
        <is>
          <t xml:space="preserve">Code Audit</t>
        </is>
      </c>
      <c r="C319" t="inlineStr">
        <is>
          <t xml:space="preserve">UI/UX &amp; Design-System Compliance</t>
        </is>
      </c>
      <c r="D319" t="inlineStr">
        <is>
          <t xml:space="preserve">All forms rendering a required-field asterisk via the shared Label atom</t>
        </is>
      </c>
      <c r="E319" t="inlineStr">
        <is>
          <t xml:space="preserve">Required-field indicator (shared Label atom): The shared, documented primitive for required-field marking is both semantically wrong (warning color instead of destructive/error color for a required-field marker) and effectively unadopted/dead — nearly every real usage bypasses it with…</t>
        </is>
      </c>
      <c r="F319" t="inlineStr">
        <is>
          <t xml:space="preserve">Fix – UI/UX</t>
        </is>
      </c>
      <c r="G319" t="inlineStr">
        <is>
          <t xml:space="preserve">Medium</t>
        </is>
      </c>
      <c r="H319" t="inlineStr">
        <is>
          <t xml:space="preserve">Built – audit finding</t>
        </is>
      </c>
      <c r="I319">
        <v>1.0</v>
      </c>
      <c r="J319">
        <v>0.5</v>
      </c>
      <c r="K319">
        <v>1.5</v>
      </c>
      <c r="L319" t="inlineStr">
        <is>
          <t xml:space="preserve">Backlog ref #293 · verdict CONFIRMED</t>
        </is>
      </c>
    </row>
    <row r="320">
      <c r="A320">
        <v>309</v>
      </c>
      <c r="B320" t="inlineStr">
        <is>
          <t xml:space="preserve">Code Audit</t>
        </is>
      </c>
      <c r="C320" t="inlineStr">
        <is>
          <t xml:space="preserve">UI/UX &amp; Design-System Compliance</t>
        </is>
      </c>
      <c r="D320" t="inlineStr">
        <is>
          <t xml:space="preserve">All grid screens using the standard AdvancedDataTable / BasicDataTable / FlowDa…</t>
        </is>
      </c>
      <c r="E320" t="inlineStr">
        <is>
          <t xml:space="preserve">Grid-level GraphQL error display: Error UI uses raw non-token Tailwind palette colors (bg-red-50/text-red-600 instead of destructive/* tokens), is copy-pasted three times instead of shared, has no retry action, and renders the raw JS Error.toString() (which can include int…</t>
        </is>
      </c>
      <c r="F320" t="inlineStr">
        <is>
          <t xml:space="preserve">Fix – UI/UX</t>
        </is>
      </c>
      <c r="G320" t="inlineStr">
        <is>
          <t xml:space="preserve">Medium</t>
        </is>
      </c>
      <c r="H320" t="inlineStr">
        <is>
          <t xml:space="preserve">Built – audit finding</t>
        </is>
      </c>
      <c r="I320">
        <v>1.0</v>
      </c>
      <c r="J320">
        <v>0.5</v>
      </c>
      <c r="K320">
        <v>1.5</v>
      </c>
      <c r="L320" t="inlineStr">
        <is>
          <t xml:space="preserve">Backlog ref #294 · verdict CONFIRMED</t>
        </is>
      </c>
    </row>
    <row r="321">
      <c r="A321">
        <v>310</v>
      </c>
      <c r="B321" t="inlineStr">
        <is>
          <t xml:space="preserve">Code Audit</t>
        </is>
      </c>
      <c r="C321" t="inlineStr">
        <is>
          <t xml:space="preserve">UI/UX &amp; Design-System Compliance</t>
        </is>
      </c>
      <c r="D321" t="inlineStr">
        <is>
          <t xml:space="preserve">Screens with Create/Save buttons outside the standard FLOW form pipeline (e.g.…</t>
        </is>
      </c>
      <c r="E321" t="inlineStr">
        <is>
          <t xml:space="preserve">Create/Save button enablement rule: Inconsistent enablement logic — some Create buttons are enabled/disabled purely by role capability regardless of whether the underlying form is actually valid/complete.</t>
        </is>
      </c>
      <c r="F321" t="inlineStr">
        <is>
          <t xml:space="preserve">Fix</t>
        </is>
      </c>
      <c r="G321" t="inlineStr">
        <is>
          <t xml:space="preserve">Medium</t>
        </is>
      </c>
      <c r="H321" t="inlineStr">
        <is>
          <t xml:space="preserve">Built – audit finding</t>
        </is>
      </c>
      <c r="I321">
        <v>1.5</v>
      </c>
      <c r="J321">
        <v>0.75</v>
      </c>
      <c r="K321">
        <v>2.25</v>
      </c>
      <c r="L321" t="inlineStr">
        <is>
          <t xml:space="preserve">Backlog ref #295 · verdict CONFIRMED</t>
        </is>
      </c>
    </row>
    <row r="322">
      <c r="A322">
        <v>311</v>
      </c>
      <c r="B322" t="inlineStr">
        <is>
          <t xml:space="preserve">Code Audit</t>
        </is>
      </c>
      <c r="C322" t="inlineStr">
        <is>
          <t xml:space="preserve">Volunteer &amp; Membership</t>
        </is>
      </c>
      <c r="D322" t="inlineStr">
        <is>
          <t xml:space="preserve">Hour Tracking (Create Volunteer Hour Log)</t>
        </is>
      </c>
      <c r="E322" t="inlineStr">
        <is>
          <t xml:space="preserve">Duplicate hour-log submission prevention: A volunteer (or staff logging on their behalf) can submit the same hours multiple times for the same date/activity/time, and the system will accept all of them as separate approvable records.</t>
        </is>
      </c>
      <c r="F322" t="inlineStr">
        <is>
          <t xml:space="preserve">Fix – Business Logic</t>
        </is>
      </c>
      <c r="G322" t="inlineStr">
        <is>
          <t xml:space="preserve">Medium</t>
        </is>
      </c>
      <c r="H322" t="inlineStr">
        <is>
          <t xml:space="preserve">Built – audit finding</t>
        </is>
      </c>
      <c r="I322">
        <v>2.0</v>
      </c>
      <c r="J322">
        <v>1.0</v>
      </c>
      <c r="K322">
        <v>3.0</v>
      </c>
      <c r="L322" t="inlineStr">
        <is>
          <t xml:space="preserve">Backlog ref #296 · verdict CONFIRMED</t>
        </is>
      </c>
    </row>
    <row r="323">
      <c r="A323">
        <v>312</v>
      </c>
      <c r="B323" t="inlineStr">
        <is>
          <t xml:space="preserve">Code Audit</t>
        </is>
      </c>
      <c r="C323" t="inlineStr">
        <is>
          <t xml:space="preserve">Volunteer &amp; Membership</t>
        </is>
      </c>
      <c r="D323" t="inlineStr">
        <is>
          <t xml:space="preserve">Member Portal (Signup / Join flow)</t>
        </is>
      </c>
      <c r="E323" t="inlineStr">
        <is>
          <t xml:space="preserve">Self-service enrollment / signup: There is no self-service membership signup/enrollment flow in the Member Portal at all — both entry points are explicit 'coming soon' stubs.</t>
        </is>
      </c>
      <c r="F323" t="inlineStr">
        <is>
          <t xml:space="preserve">Fix</t>
        </is>
      </c>
      <c r="G323" t="inlineStr">
        <is>
          <t xml:space="preserve">Medium</t>
        </is>
      </c>
      <c r="H323" t="inlineStr">
        <is>
          <t xml:space="preserve">Built – audit finding</t>
        </is>
      </c>
      <c r="I323">
        <v>1.5</v>
      </c>
      <c r="J323">
        <v>0.75</v>
      </c>
      <c r="K323">
        <v>2.25</v>
      </c>
      <c r="L323" t="inlineStr">
        <is>
          <t xml:space="preserve">Backlog ref #297 · verdict CONFIRMED</t>
        </is>
      </c>
    </row>
    <row r="324">
      <c r="A324">
        <v>313</v>
      </c>
      <c r="B324" t="inlineStr">
        <is>
          <t xml:space="preserve">Code Audit</t>
        </is>
      </c>
      <c r="C324" t="inlineStr">
        <is>
          <t xml:space="preserve">Volunteer &amp; Membership</t>
        </is>
      </c>
      <c r="D324" t="inlineStr">
        <is>
          <t xml:space="preserve">Membership Renewal (Manual &amp; Auto-Renew payment processing)</t>
        </is>
      </c>
      <c r="E324" t="inlineStr">
        <is>
          <t xml:space="preserve">Renewal payment amount/currency integrity: There is no server-side check that a reported successful payment actually matches the expected renewal price/currency for the tier before granting a full renewal cycle (EndDate extension + ACT status). A short-paid, wrong-currency, or tamp…</t>
        </is>
      </c>
      <c r="F324" t="inlineStr">
        <is>
          <t xml:space="preserve">Fix</t>
        </is>
      </c>
      <c r="G324" t="inlineStr">
        <is>
          <t xml:space="preserve">Medium</t>
        </is>
      </c>
      <c r="H324" t="inlineStr">
        <is>
          <t xml:space="preserve">Built – audit finding</t>
        </is>
      </c>
      <c r="I324">
        <v>1.5</v>
      </c>
      <c r="J324">
        <v>0.75</v>
      </c>
      <c r="K324">
        <v>2.25</v>
      </c>
      <c r="L324" t="inlineStr">
        <is>
          <t xml:space="preserve">Backlog ref #298 · verdict CONFIRMED</t>
        </is>
      </c>
    </row>
    <row r="325">
      <c r="A325">
        <v>314</v>
      </c>
      <c r="B325" t="inlineStr">
        <is>
          <t xml:space="preserve">Code Audit</t>
        </is>
      </c>
      <c r="C325" t="inlineStr">
        <is>
          <t xml:space="preserve">Volunteer &amp; Membership</t>
        </is>
      </c>
      <c r="D325" t="inlineStr">
        <is>
          <t xml:space="preserve">Membership Renewal (reminder delivery)</t>
        </is>
      </c>
      <c r="E325" t="inlineStr">
        <is>
          <t xml:space="preserve">Renewal reminder channel coverage and failure visibility: 1) SMS reminders are advertised by the data model but never actually sent. 2) A tenant that has not configured a default email renewal-reminder template gets zero reminders sent, silently, with no visible failure indicator anywhere in the…</t>
        </is>
      </c>
      <c r="F325" t="inlineStr">
        <is>
          <t xml:space="preserve">Fix</t>
        </is>
      </c>
      <c r="G325" t="inlineStr">
        <is>
          <t xml:space="preserve">Medium</t>
        </is>
      </c>
      <c r="H325" t="inlineStr">
        <is>
          <t xml:space="preserve">Built – audit finding</t>
        </is>
      </c>
      <c r="I325">
        <v>1.5</v>
      </c>
      <c r="J325">
        <v>0.75</v>
      </c>
      <c r="K325">
        <v>2.25</v>
      </c>
      <c r="L325" t="inlineStr">
        <is>
          <t xml:space="preserve">Backlog ref #299 · verdict CONFIRMED</t>
        </is>
      </c>
    </row>
    <row r="326">
      <c r="A326">
        <v>315</v>
      </c>
      <c r="B326" t="inlineStr">
        <is>
          <t xml:space="preserve">Code Audit</t>
        </is>
      </c>
      <c r="C326" t="inlineStr">
        <is>
          <t xml:space="preserve">Volunteer &amp; Membership</t>
        </is>
      </c>
      <c r="D326" t="inlineStr">
        <is>
          <t xml:space="preserve">Volunteer / Hour Tracking</t>
        </is>
      </c>
      <c r="E326" t="inlineStr">
        <is>
          <t xml:space="preserve">Volunteer blackout / unavailability enforcement: Blackout/unavailability dates entered by staff on a volunteer's profile are stored but have zero effect anywhere in the system — they don't block shift assignment, don't affect the 'available volunteers' list, and don't block hour-log subm…</t>
        </is>
      </c>
      <c r="F326" t="inlineStr">
        <is>
          <t xml:space="preserve">Fix – Data Integrity</t>
        </is>
      </c>
      <c r="G326" t="inlineStr">
        <is>
          <t xml:space="preserve">Medium</t>
        </is>
      </c>
      <c r="H326" t="inlineStr">
        <is>
          <t xml:space="preserve">Built – audit finding</t>
        </is>
      </c>
      <c r="I326">
        <v>2.0</v>
      </c>
      <c r="J326">
        <v>1.0</v>
      </c>
      <c r="K326">
        <v>3.0</v>
      </c>
      <c r="L326" t="inlineStr">
        <is>
          <t xml:space="preserve">Backlog ref #300 · verdict CONFIRMED</t>
        </is>
      </c>
    </row>
    <row r="327">
      <c r="A327">
        <v>316</v>
      </c>
      <c r="B327" t="inlineStr">
        <is>
          <t xml:space="preserve">Code Audit</t>
        </is>
      </c>
      <c r="C327" t="inlineStr">
        <is>
          <t xml:space="preserve">Volunteer &amp; Membership</t>
        </is>
      </c>
      <c r="D327" t="inlineStr">
        <is>
          <t xml:space="preserve">Volunteer Schedule (Assign Volunteer to Shift)</t>
        </is>
      </c>
      <c r="E327" t="inlineStr">
        <is>
          <t xml:space="preserve">Shift assignment conflict/capacity enforcement: No server-side enforcement exists for shift headcount capacity, volunteer blackout windows, or double-booking across different overlapping shifts — only exact duplicate (same shift, same volunteer) is blocked.</t>
        </is>
      </c>
      <c r="F327" t="inlineStr">
        <is>
          <t xml:space="preserve">Fix – Business Logic</t>
        </is>
      </c>
      <c r="G327" t="inlineStr">
        <is>
          <t xml:space="preserve">Medium</t>
        </is>
      </c>
      <c r="H327" t="inlineStr">
        <is>
          <t xml:space="preserve">Built – audit finding</t>
        </is>
      </c>
      <c r="I327">
        <v>2.0</v>
      </c>
      <c r="J327">
        <v>1.0</v>
      </c>
      <c r="K327">
        <v>3.0</v>
      </c>
      <c r="L327" t="inlineStr">
        <is>
          <t xml:space="preserve">Backlog ref #301 · verdict CONFIRMED</t>
        </is>
      </c>
    </row>
    <row r="328">
      <c r="A328">
        <v>317</v>
      </c>
      <c r="B328" t="inlineStr">
        <is>
          <t xml:space="preserve">Code Audit</t>
        </is>
      </c>
      <c r="C328" t="inlineStr">
        <is>
          <t xml:space="preserve">Administration / System Configuration</t>
        </is>
      </c>
      <c r="D328" t="inlineStr">
        <is>
          <t xml:space="preserve">Administration &gt; Role Management / Menu Management / Modules — all GraphQL muta…</t>
        </is>
      </c>
      <c r="E328" t="inlineStr">
        <is>
          <t xml:space="preserve">Duplicate Authorization DB Round-Trip: Every authorization check (the DB join in HasAccessAsync) runs twice per request for every CustomAuthorize-decorated command/query, doubling DB round-trips for authorization on every protected mutation/query in the system, including all Ro…</t>
        </is>
      </c>
      <c r="F328" t="inlineStr">
        <is>
          <t xml:space="preserve">Fix</t>
        </is>
      </c>
      <c r="G328" t="inlineStr">
        <is>
          <t xml:space="preserve">Low</t>
        </is>
      </c>
      <c r="H328" t="inlineStr">
        <is>
          <t xml:space="preserve">Built – audit finding</t>
        </is>
      </c>
      <c r="I328">
        <v>1.0</v>
      </c>
      <c r="J328">
        <v>0.5</v>
      </c>
      <c r="K328">
        <v>1.5</v>
      </c>
      <c r="L328" t="inlineStr">
        <is>
          <t xml:space="preserve">Backlog ref #302 · verdict CONFIRMED</t>
        </is>
      </c>
    </row>
    <row r="329">
      <c r="A329">
        <v>318</v>
      </c>
      <c r="B329" t="inlineStr">
        <is>
          <t xml:space="preserve">Code Audit</t>
        </is>
      </c>
      <c r="C329" t="inlineStr">
        <is>
          <t xml:space="preserve">Administration / System Configuration</t>
        </is>
      </c>
      <c r="D329" t="inlineStr">
        <is>
          <t xml:space="preserve">Audit Trail (all entity mutations)</t>
        </is>
      </c>
      <c r="E329" t="inlineStr">
        <is>
          <t xml:space="preserve">Fire-and-forget audit emission on synchronous SaveChanges: Any code path in the codebase that calls the synchronous `SaveChanges()` (rather than `SaveChangesAsync()`) triggers an unobserved, unawaited Task for audit emission; if the request/process completes or the DbContext is disposed before tha…</t>
        </is>
      </c>
      <c r="F329" t="inlineStr">
        <is>
          <t xml:space="preserve">Testing</t>
        </is>
      </c>
      <c r="G329" t="inlineStr">
        <is>
          <t xml:space="preserve">Low</t>
        </is>
      </c>
      <c r="H329" t="inlineStr">
        <is>
          <t xml:space="preserve">Built – audit finding</t>
        </is>
      </c>
      <c r="I329">
        <v>2.0</v>
      </c>
      <c r="J329">
        <v>1.0</v>
      </c>
      <c r="K329">
        <v>3.0</v>
      </c>
      <c r="L329" t="inlineStr">
        <is>
          <t xml:space="preserve">Backlog ref #303 · verdict CONFIRMED</t>
        </is>
      </c>
    </row>
    <row r="330">
      <c r="A330">
        <v>319</v>
      </c>
      <c r="B330" t="inlineStr">
        <is>
          <t xml:space="preserve">Code Audit</t>
        </is>
      </c>
      <c r="C330" t="inlineStr">
        <is>
          <t xml:space="preserve">Administration / System Configuration</t>
        </is>
      </c>
      <c r="D330" t="inlineStr">
        <is>
          <t xml:space="preserve">Login / Authentication — Password hashing</t>
        </is>
      </c>
      <c r="E330" t="inlineStr">
        <is>
          <t xml:space="preserve">Weak PBKDF2 iteration count for password hashing: 10,000 iterations is well below current OWASP guidance for PBKDF2 (recommended minimums are in the hundreds of thousands for SHA-256/512 as of recent years), reducing the computational cost of offline brute-forcing if the password hash tab…</t>
        </is>
      </c>
      <c r="F330" t="inlineStr">
        <is>
          <t xml:space="preserve">Fix – Security</t>
        </is>
      </c>
      <c r="G330" t="inlineStr">
        <is>
          <t xml:space="preserve">Low</t>
        </is>
      </c>
      <c r="H330" t="inlineStr">
        <is>
          <t xml:space="preserve">Built – audit finding</t>
        </is>
      </c>
      <c r="I330">
        <v>1.5</v>
      </c>
      <c r="J330">
        <v>0.75</v>
      </c>
      <c r="K330">
        <v>2.25</v>
      </c>
      <c r="L330" t="inlineStr">
        <is>
          <t xml:space="preserve">Backlog ref #304 · verdict CONFIRMED</t>
        </is>
      </c>
    </row>
    <row r="331">
      <c r="A331">
        <v>320</v>
      </c>
      <c r="B331" t="inlineStr">
        <is>
          <t xml:space="preserve">Code Audit</t>
        </is>
      </c>
      <c r="C331" t="inlineStr">
        <is>
          <t xml:space="preserve">API / GraphQL Contract</t>
        </is>
      </c>
      <c r="D331" t="inlineStr">
        <is>
          <t xml:space="preserve">Grant DTOs and equivalents across schemas (e.g. Base.Application/Schemas/GrantS…</t>
        </is>
      </c>
      <c r="E331" t="inlineStr">
        <is>
          <t xml:space="preserve">GraphQL nullability correctness: Primary-key and always-populated fields are declared as C# nullable (`public int? GrantId { get; set; }` on GrantRequestDto, inherited into GrantResponseDto) even though a returned row can never actually have a null `GrantId`. This pattern…</t>
        </is>
      </c>
      <c r="F331" t="inlineStr">
        <is>
          <t xml:space="preserve">Fix</t>
        </is>
      </c>
      <c r="G331" t="inlineStr">
        <is>
          <t xml:space="preserve">Low</t>
        </is>
      </c>
      <c r="H331" t="inlineStr">
        <is>
          <t xml:space="preserve">Built – audit finding</t>
        </is>
      </c>
      <c r="I331">
        <v>1.0</v>
      </c>
      <c r="J331">
        <v>0.5</v>
      </c>
      <c r="K331">
        <v>1.5</v>
      </c>
      <c r="L331" t="inlineStr">
        <is>
          <t xml:space="preserve">Backlog ref #305 · verdict CONFIRMED</t>
        </is>
      </c>
    </row>
    <row r="332">
      <c r="A332">
        <v>321</v>
      </c>
      <c r="B332" t="inlineStr">
        <is>
          <t xml:space="preserve">Code Audit</t>
        </is>
      </c>
      <c r="C332" t="inlineStr">
        <is>
          <t xml:space="preserve">Background Services &amp; Scheduled Jobs</t>
        </is>
      </c>
      <c r="D332" t="inlineStr">
        <is>
          <t xml:space="preserve">Cross-cutting — Import execution failure handling</t>
        </is>
      </c>
      <c r="E332" t="inlineStr">
        <is>
          <t xml:space="preserve">ImportScheduledExecutionService retry/backoff for failed import sessions: The retry delay is a flat 'always tomorrow, same time-of-day' with no exponential backoff and, more importantly, the next cron tick's session-selection query (`ExecuteScheduledImportsAsync`, lines 68-73) selects ALL sessions with `Status =…</t>
        </is>
      </c>
      <c r="F332" t="inlineStr">
        <is>
          <t xml:space="preserve">Fix</t>
        </is>
      </c>
      <c r="G332" t="inlineStr">
        <is>
          <t xml:space="preserve">Low</t>
        </is>
      </c>
      <c r="H332" t="inlineStr">
        <is>
          <t xml:space="preserve">Built – audit finding</t>
        </is>
      </c>
      <c r="I332">
        <v>1.0</v>
      </c>
      <c r="J332">
        <v>0.5</v>
      </c>
      <c r="K332">
        <v>1.5</v>
      </c>
      <c r="L332" t="inlineStr">
        <is>
          <t xml:space="preserve">Backlog ref #306 · verdict CONFIRMED</t>
        </is>
      </c>
    </row>
    <row r="333">
      <c r="A333">
        <v>322</v>
      </c>
      <c r="B333" t="inlineStr">
        <is>
          <t xml:space="preserve">Code Audit</t>
        </is>
      </c>
      <c r="C333" t="inlineStr">
        <is>
          <t xml:space="preserve">Background Services &amp; Scheduled Jobs</t>
        </is>
      </c>
      <c r="D333" t="inlineStr">
        <is>
          <t xml:space="preserve">Cross-cutting — Import scheduling</t>
        </is>
      </c>
      <c r="E333" t="inlineStr">
        <is>
          <t xml:space="preserve">Import schedule recovery vs. dispatcher pattern (positive contrast baseline): This is not itself a defect, but its existence highlights the inconsistency: only Imports and Online-Donation-Map jobs have this DB-driven re-registration-on-restart pattern; PayU recurring charges and Event Communications rely solely on H…</t>
        </is>
      </c>
      <c r="F333" t="inlineStr">
        <is>
          <t xml:space="preserve">Fix</t>
        </is>
      </c>
      <c r="G333" t="inlineStr">
        <is>
          <t xml:space="preserve">Low</t>
        </is>
      </c>
      <c r="H333" t="inlineStr">
        <is>
          <t xml:space="preserve">Built – audit finding</t>
        </is>
      </c>
      <c r="I333">
        <v>1.0</v>
      </c>
      <c r="J333">
        <v>0.5</v>
      </c>
      <c r="K333">
        <v>1.5</v>
      </c>
      <c r="L333" t="inlineStr">
        <is>
          <t xml:space="preserve">Backlog ref #307 · verdict CONFIRMED</t>
        </is>
      </c>
    </row>
    <row r="334">
      <c r="A334">
        <v>323</v>
      </c>
      <c r="B334" t="inlineStr">
        <is>
          <t xml:space="preserve">Code Audit</t>
        </is>
      </c>
      <c r="C334" t="inlineStr">
        <is>
          <t xml:space="preserve">Background Services &amp; Scheduled Jobs</t>
        </is>
      </c>
      <c r="D334" t="inlineStr">
        <is>
          <t xml:space="preserve">Membership &gt; Renewals</t>
        </is>
      </c>
      <c r="E334" t="inlineStr">
        <is>
          <t xml:space="preserve">SMS renewal reminder channel: The class doc comment itself states 'SMS will be activated when configured' — this is a half-built feature. If the frontend or the `channels` parameter on SendBulkRenewalRemindersCommand implies SMS is selectable, staff selecting SMS get s…</t>
        </is>
      </c>
      <c r="F334" t="inlineStr">
        <is>
          <t xml:space="preserve">Fix</t>
        </is>
      </c>
      <c r="G334" t="inlineStr">
        <is>
          <t xml:space="preserve">Low</t>
        </is>
      </c>
      <c r="H334" t="inlineStr">
        <is>
          <t xml:space="preserve">Built – audit finding</t>
        </is>
      </c>
      <c r="I334">
        <v>1.0</v>
      </c>
      <c r="J334">
        <v>0.5</v>
      </c>
      <c r="K334">
        <v>1.5</v>
      </c>
      <c r="L334" t="inlineStr">
        <is>
          <t xml:space="preserve">Backlog ref #308 · verdict CONFIRMED</t>
        </is>
      </c>
    </row>
    <row r="335">
      <c r="A335">
        <v>324</v>
      </c>
      <c r="B335" t="inlineStr">
        <is>
          <t xml:space="preserve">Code Audit</t>
        </is>
      </c>
      <c r="C335" t="inlineStr">
        <is>
          <t xml:space="preserve">Case Management</t>
        </is>
      </c>
      <c r="D335" t="inlineStr">
        <is>
          <t xml:space="preserve">Beneficiary Enrollment</t>
        </is>
      </c>
      <c r="E335" t="inlineStr">
        <is>
          <t xml:space="preserve">Cross-check between Case.BranchId and Beneficiary.BranchId: CreateCaseHandler never reads Beneficiary.BranchId nor cross-validates it against the submitted Case.BranchId (or defaults Case.BranchId from the Beneficiary when omitted) - a case can be created with BranchId left null, or set to a branch…</t>
        </is>
      </c>
      <c r="F335" t="inlineStr">
        <is>
          <t xml:space="preserve">Fix – Data Integrity</t>
        </is>
      </c>
      <c r="G335" t="inlineStr">
        <is>
          <t xml:space="preserve">Low</t>
        </is>
      </c>
      <c r="H335" t="inlineStr">
        <is>
          <t xml:space="preserve">Built – audit finding</t>
        </is>
      </c>
      <c r="I335">
        <v>1.0</v>
      </c>
      <c r="J335">
        <v>0.5</v>
      </c>
      <c r="K335">
        <v>1.5</v>
      </c>
      <c r="L335" t="inlineStr">
        <is>
          <t xml:space="preserve">Backlog ref #309 · verdict CONFIRMED</t>
        </is>
      </c>
    </row>
    <row r="336">
      <c r="A336">
        <v>325</v>
      </c>
      <c r="B336" t="inlineStr">
        <is>
          <t xml:space="preserve">Code Audit</t>
        </is>
      </c>
      <c r="C336" t="inlineStr">
        <is>
          <t xml:space="preserve">Case Management</t>
        </is>
      </c>
      <c r="D336" t="inlineStr">
        <is>
          <t xml:space="preserve">Case Reassignment</t>
        </is>
      </c>
      <c r="E336" t="inlineStr">
        <is>
          <t xml:space="preserve">New assignee branch/role eligibility check: There is no check that the new staff member is active, belongs to the case's branch, or holds the case-worker role/permission needed to manage cases - any existing Staff row (e.g., a finance-only or inactive staff member) can be assigned a…</t>
        </is>
      </c>
      <c r="F336" t="inlineStr">
        <is>
          <t xml:space="preserve">Fix – Business Logic</t>
        </is>
      </c>
      <c r="G336" t="inlineStr">
        <is>
          <t xml:space="preserve">Low</t>
        </is>
      </c>
      <c r="H336" t="inlineStr">
        <is>
          <t xml:space="preserve">Built – audit finding</t>
        </is>
      </c>
      <c r="I336">
        <v>1.0</v>
      </c>
      <c r="J336">
        <v>0.5</v>
      </c>
      <c r="K336">
        <v>1.5</v>
      </c>
      <c r="L336" t="inlineStr">
        <is>
          <t xml:space="preserve">Backlog ref #310 · verdict CONFIRMED</t>
        </is>
      </c>
    </row>
    <row r="337">
      <c r="A337">
        <v>326</v>
      </c>
      <c r="B337" t="inlineStr">
        <is>
          <t xml:space="preserve">Code Audit</t>
        </is>
      </c>
      <c r="C337" t="inlineStr">
        <is>
          <t xml:space="preserve">Contacts / CRM</t>
        </is>
      </c>
      <c r="D337" t="inlineStr">
        <is>
          <t xml:space="preserve">Contact — Tags &amp; Segmentation</t>
        </is>
      </c>
      <c r="E337" t="inlineStr">
        <is>
          <t xml:space="preserve">Tag assignment/removal (UpdateContact): Tag removal bypasses the soft-delete convention used pervasively elsewhere in this codebase (e.g. Contact merge deactivation, DuplicateContact resolution) — the row (including AssignedDate/AssignedByUserId) is gone from the database the mo…</t>
        </is>
      </c>
      <c r="F337" t="inlineStr">
        <is>
          <t xml:space="preserve">Fix – Data Integrity</t>
        </is>
      </c>
      <c r="G337" t="inlineStr">
        <is>
          <t xml:space="preserve">Low</t>
        </is>
      </c>
      <c r="H337" t="inlineStr">
        <is>
          <t xml:space="preserve">Built – audit finding</t>
        </is>
      </c>
      <c r="I337">
        <v>1.0</v>
      </c>
      <c r="J337">
        <v>0.5</v>
      </c>
      <c r="K337">
        <v>1.5</v>
      </c>
      <c r="L337" t="inlineStr">
        <is>
          <t xml:space="preserve">Backlog ref #311 · verdict CONFIRMED</t>
        </is>
      </c>
    </row>
    <row r="338">
      <c r="A338">
        <v>327</v>
      </c>
      <c r="B338" t="inlineStr">
        <is>
          <t xml:space="preserve">Code Audit</t>
        </is>
      </c>
      <c r="C338" t="inlineStr">
        <is>
          <t xml:space="preserve">Contacts / CRM</t>
        </is>
      </c>
      <c r="D338" t="inlineStr">
        <is>
          <t xml:space="preserve">Contact Dashboard / Contact list / Duplicate Detection</t>
        </is>
      </c>
      <c r="E338" t="inlineStr">
        <is>
          <t xml:space="preserve">EngagementScore — stub field: EngagementScore is not backed by any real computed or stored value anywhere in the Contact module — it is a permanent hardcoded placeholder in at least two call sites.</t>
        </is>
      </c>
      <c r="F338" t="inlineStr">
        <is>
          <t xml:space="preserve">Fix</t>
        </is>
      </c>
      <c r="G338" t="inlineStr">
        <is>
          <t xml:space="preserve">Low</t>
        </is>
      </c>
      <c r="H338" t="inlineStr">
        <is>
          <t xml:space="preserve">Built – audit finding</t>
        </is>
      </c>
      <c r="I338">
        <v>1.0</v>
      </c>
      <c r="J338">
        <v>0.5</v>
      </c>
      <c r="K338">
        <v>1.5</v>
      </c>
      <c r="L338" t="inlineStr">
        <is>
          <t xml:space="preserve">Backlog ref #312 · verdict CONFIRMED</t>
        </is>
      </c>
    </row>
    <row r="339">
      <c r="A339">
        <v>328</v>
      </c>
      <c r="B339" t="inlineStr">
        <is>
          <t xml:space="preserve">Code Audit</t>
        </is>
      </c>
      <c r="C339" t="inlineStr">
        <is>
          <t xml:space="preserve">Contacts / CRM</t>
        </is>
      </c>
      <c r="D339" t="inlineStr">
        <is>
          <t xml:space="preserve">Duplicate Detection (GraphQL mutations, broadly all Contact mutations)</t>
        </is>
      </c>
      <c r="E339" t="inlineStr">
        <is>
          <t xml:space="preserve">Exception message exposure: No sanitization/mapping layer converts internal exception text (e.g. 'relation "corg.fn_merge_contacts" does not exist', SQL constraint names, stack-adjacent details) into a safe, user-facing message before it reaches the GraphQL client.</t>
        </is>
      </c>
      <c r="F339" t="inlineStr">
        <is>
          <t xml:space="preserve">Fix – Security</t>
        </is>
      </c>
      <c r="G339" t="inlineStr">
        <is>
          <t xml:space="preserve">Low</t>
        </is>
      </c>
      <c r="H339" t="inlineStr">
        <is>
          <t xml:space="preserve">Built – audit finding</t>
        </is>
      </c>
      <c r="I339">
        <v>1.5</v>
      </c>
      <c r="J339">
        <v>0.75</v>
      </c>
      <c r="K339">
        <v>2.25</v>
      </c>
      <c r="L339" t="inlineStr">
        <is>
          <t xml:space="preserve">Backlog ref #313 · verdict CONFIRMED</t>
        </is>
      </c>
    </row>
    <row r="340">
      <c r="A340">
        <v>329</v>
      </c>
      <c r="B340" t="inlineStr">
        <is>
          <t xml:space="preserve">Code Audit</t>
        </is>
      </c>
      <c r="C340" t="inlineStr">
        <is>
          <t xml:space="preserve">Contacts / CRM</t>
        </is>
      </c>
      <c r="D340" t="inlineStr">
        <is>
          <t xml:space="preserve">Family</t>
        </is>
      </c>
      <c r="E340" t="inlineStr">
        <is>
          <t xml:space="preserve">SetContactAsFamilyHead — FamilyCode generation: This is a classic read-then-insert race condition: two concurrent 'Set as Family Head' actions (a realistic scenario during bulk donor onboarding or two staff working simultaneously) can both read the same max code and attempt to insert fa…</t>
        </is>
      </c>
      <c r="F340" t="inlineStr">
        <is>
          <t xml:space="preserve">Fix</t>
        </is>
      </c>
      <c r="G340" t="inlineStr">
        <is>
          <t xml:space="preserve">Low</t>
        </is>
      </c>
      <c r="H340" t="inlineStr">
        <is>
          <t xml:space="preserve">Built – audit finding</t>
        </is>
      </c>
      <c r="I340">
        <v>1.0</v>
      </c>
      <c r="J340">
        <v>0.5</v>
      </c>
      <c r="K340">
        <v>1.5</v>
      </c>
      <c r="L340" t="inlineStr">
        <is>
          <t xml:space="preserve">Backlog ref #314 · verdict CONFIRMED</t>
        </is>
      </c>
    </row>
    <row r="341">
      <c r="A341">
        <v>330</v>
      </c>
      <c r="B341" t="inlineStr">
        <is>
          <t xml:space="preserve">Code Audit</t>
        </is>
      </c>
      <c r="C341" t="inlineStr">
        <is>
          <t xml:space="preserve">Currency / FX / Decimal / Timezone</t>
        </is>
      </c>
      <c r="D341" t="inlineStr">
        <is>
          <t xml:space="preserve">CrowdFund public/admin stats &amp; listing (5 query handlers)</t>
        </is>
      </c>
      <c r="E341" t="inlineStr">
        <is>
          <t xml:space="preserve">CrowdFund FX-fallback conversion logic: The same currency-fallback business rule is copy-pasted five times across independent query handlers instead of being centralized.</t>
        </is>
      </c>
      <c r="F341" t="inlineStr">
        <is>
          <t xml:space="preserve">Fix – Currency</t>
        </is>
      </c>
      <c r="G341" t="inlineStr">
        <is>
          <t xml:space="preserve">Low</t>
        </is>
      </c>
      <c r="H341" t="inlineStr">
        <is>
          <t xml:space="preserve">Built – audit finding</t>
        </is>
      </c>
      <c r="I341">
        <v>1.5</v>
      </c>
      <c r="J341">
        <v>0.75</v>
      </c>
      <c r="K341">
        <v>2.25</v>
      </c>
      <c r="L341" t="inlineStr">
        <is>
          <t xml:space="preserve">Backlog ref #315 · verdict CONFIRMED</t>
        </is>
      </c>
    </row>
    <row r="342">
      <c r="A342">
        <v>331</v>
      </c>
      <c r="B342" t="inlineStr">
        <is>
          <t xml:space="preserve">Code Audit</t>
        </is>
      </c>
      <c r="C342" t="inlineStr">
        <is>
          <t xml:space="preserve">Currency / FX / Decimal / Timezone</t>
        </is>
      </c>
      <c r="D342" t="inlineStr">
        <is>
          <t xml:space="preserve">Saved Filters (Duplicate) / Report Catalog (Last Run Date)</t>
        </is>
      </c>
      <c r="E342" t="inlineStr">
        <is>
          <t xml:space="preserve">Timestamp assignment on entity duplication / report metadata: Two more concrete instances of the naive local-time anti-pattern already established elsewhere in the codebase (Ambassador, Volunteer modules), this time in cross-cutting Notify/Report infrastructure rather than a single business module.</t>
        </is>
      </c>
      <c r="F342" t="inlineStr">
        <is>
          <t xml:space="preserve">Fix</t>
        </is>
      </c>
      <c r="G342" t="inlineStr">
        <is>
          <t xml:space="preserve">Low</t>
        </is>
      </c>
      <c r="H342" t="inlineStr">
        <is>
          <t xml:space="preserve">Built – audit finding</t>
        </is>
      </c>
      <c r="I342">
        <v>1.0</v>
      </c>
      <c r="J342">
        <v>0.5</v>
      </c>
      <c r="K342">
        <v>1.5</v>
      </c>
      <c r="L342" t="inlineStr">
        <is>
          <t xml:space="preserve">Backlog ref #316 · verdict CONFIRMED</t>
        </is>
      </c>
    </row>
    <row r="343">
      <c r="A343">
        <v>332</v>
      </c>
      <c r="B343" t="inlineStr">
        <is>
          <t xml:space="preserve">Code Audit</t>
        </is>
      </c>
      <c r="C343" t="inlineStr">
        <is>
          <t xml:space="preserve">Deployment · Config · Ops Readiness</t>
        </is>
      </c>
      <c r="D343" t="inlineStr">
        <is>
          <t xml:space="preserve">Cross-cutting — Backend exception handling wiring</t>
        </is>
      </c>
      <c r="E343" t="inlineStr">
        <is>
          <t xml:space="preserve">Global error handling: CustomExceptionHandler is registered but never executed — dead configuration that silently does nothing.</t>
        </is>
      </c>
      <c r="F343" t="inlineStr">
        <is>
          <t xml:space="preserve">Ops/Config</t>
        </is>
      </c>
      <c r="G343" t="inlineStr">
        <is>
          <t xml:space="preserve">Low</t>
        </is>
      </c>
      <c r="H343" t="inlineStr">
        <is>
          <t xml:space="preserve">Built – audit finding</t>
        </is>
      </c>
      <c r="I343">
        <v>1.0</v>
      </c>
      <c r="J343">
        <v>0.5</v>
      </c>
      <c r="K343">
        <v>1.5</v>
      </c>
      <c r="L343" t="inlineStr">
        <is>
          <t xml:space="preserve">Backlog ref #317 · verdict CONFIRMED</t>
        </is>
      </c>
    </row>
    <row r="344">
      <c r="A344">
        <v>333</v>
      </c>
      <c r="B344" t="inlineStr">
        <is>
          <t xml:space="preserve">Code Audit</t>
        </is>
      </c>
      <c r="C344" t="inlineStr">
        <is>
          <t xml:space="preserve">Deployment · Config · Ops Readiness</t>
        </is>
      </c>
      <c r="D344" t="inlineStr">
        <is>
          <t xml:space="preserve">Cross-cutting — Local dev docker override</t>
        </is>
      </c>
      <c r="E344" t="inlineStr">
        <is>
          <t xml:space="preserve">Environment/config management: If this override file were ever used as a template for any hosted container deployment (rather than purely local dev-with-Visual-Studio), it would force Development-mode behavior — auto migrations, Hangfire dashboard exposed, verbose error…</t>
        </is>
      </c>
      <c r="F344" t="inlineStr">
        <is>
          <t xml:space="preserve">Ops/Config</t>
        </is>
      </c>
      <c r="G344" t="inlineStr">
        <is>
          <t xml:space="preserve">Low</t>
        </is>
      </c>
      <c r="H344" t="inlineStr">
        <is>
          <t xml:space="preserve">Built – audit finding</t>
        </is>
      </c>
      <c r="I344">
        <v>1.0</v>
      </c>
      <c r="J344">
        <v>0.5</v>
      </c>
      <c r="K344">
        <v>1.5</v>
      </c>
      <c r="L344" t="inlineStr">
        <is>
          <t xml:space="preserve">Backlog ref #318 · verdict CONFIRMED</t>
        </is>
      </c>
    </row>
    <row r="345">
      <c r="A345">
        <v>334</v>
      </c>
      <c r="B345" t="inlineStr">
        <is>
          <t xml:space="preserve">Code Audit</t>
        </is>
      </c>
      <c r="C345" t="inlineStr">
        <is>
          <t xml:space="preserve">Field Collection · Ambassador</t>
        </is>
      </c>
      <c r="D345" t="inlineStr">
        <is>
          <t xml:space="preserve">Record Collection</t>
        </is>
      </c>
      <c r="E345" t="inlineStr">
        <is>
          <t xml:space="preserve">Auto-verification of below-threshold collections: The vast majority of field collections (anything under the 5000 threshold, entered on time) are self-verified by the same ambassador who recorded them, with zero segregation of duties.</t>
        </is>
      </c>
      <c r="F345" t="inlineStr">
        <is>
          <t xml:space="preserve">Fix – Business Logic</t>
        </is>
      </c>
      <c r="G345" t="inlineStr">
        <is>
          <t xml:space="preserve">Low</t>
        </is>
      </c>
      <c r="H345" t="inlineStr">
        <is>
          <t xml:space="preserve">Built – audit finding</t>
        </is>
      </c>
      <c r="I345">
        <v>1.0</v>
      </c>
      <c r="J345">
        <v>0.5</v>
      </c>
      <c r="K345">
        <v>1.5</v>
      </c>
      <c r="L345" t="inlineStr">
        <is>
          <t xml:space="preserve">Backlog ref #319 · verdict CONFIRMED</t>
        </is>
      </c>
    </row>
    <row r="346">
      <c r="A346">
        <v>335</v>
      </c>
      <c r="B346" t="inlineStr">
        <is>
          <t xml:space="preserve">Code Audit</t>
        </is>
      </c>
      <c r="C346" t="inlineStr">
        <is>
          <t xml:space="preserve">Grants</t>
        </is>
      </c>
      <c r="D346" t="inlineStr">
        <is>
          <t xml:space="preserve">Grant Approve / Activate / Reject — internal notifications audit</t>
        </is>
      </c>
      <c r="E346" t="inlineStr">
        <is>
          <t xml:space="preserve">Grant internal notification audit reliability: ApproveGrant, ActivateGrant, RejectGrant and CreateGrantFundReceipt all call GrantCommunicationHelper.SendInternalNotifyAsync in a try/catch that swallows all exceptions and only LogWarning's. Because the GrantCommunication audit row is on…</t>
        </is>
      </c>
      <c r="F346" t="inlineStr">
        <is>
          <t xml:space="preserve">Fix – Logging</t>
        </is>
      </c>
      <c r="G346" t="inlineStr">
        <is>
          <t xml:space="preserve">Low</t>
        </is>
      </c>
      <c r="H346" t="inlineStr">
        <is>
          <t xml:space="preserve">Built – audit finding</t>
        </is>
      </c>
      <c r="I346">
        <v>1.0</v>
      </c>
      <c r="J346">
        <v>0.5</v>
      </c>
      <c r="K346">
        <v>1.5</v>
      </c>
      <c r="L346" t="inlineStr">
        <is>
          <t xml:space="preserve">Backlog ref #320 · verdict CONFIRMED</t>
        </is>
      </c>
    </row>
    <row r="347">
      <c r="A347">
        <v>336</v>
      </c>
      <c r="B347" t="inlineStr">
        <is>
          <t xml:space="preserve">Code Audit</t>
        </is>
      </c>
      <c r="C347" t="inlineStr">
        <is>
          <t xml:space="preserve">Grants</t>
        </is>
      </c>
      <c r="D347" t="inlineStr">
        <is>
          <t xml:space="preserve">Grant Fund Receipt — Create — tenant scoping defense-in-depth</t>
        </is>
      </c>
      <c r="E347" t="inlineStr">
        <is>
          <t xml:space="preserve">Grant fund receipt tenant-scoping defense-in-depth: CreateGrantFundReceiptHandler resolves grant via a bare dbContext.Grants.FirstOrDefaultAsync(g =&gt; g.GrantId == command.receipt.GrantId) with no explicit CompanyId predicate (line 56-59), then unconditionally stamps receipt.CompanyId = comp…</t>
        </is>
      </c>
      <c r="F347" t="inlineStr">
        <is>
          <t xml:space="preserve">Fix – Security</t>
        </is>
      </c>
      <c r="G347" t="inlineStr">
        <is>
          <t xml:space="preserve">Low</t>
        </is>
      </c>
      <c r="H347" t="inlineStr">
        <is>
          <t xml:space="preserve">Built – audit finding</t>
        </is>
      </c>
      <c r="I347">
        <v>1.5</v>
      </c>
      <c r="J347">
        <v>0.75</v>
      </c>
      <c r="K347">
        <v>2.25</v>
      </c>
      <c r="L347" t="inlineStr">
        <is>
          <t xml:space="preserve">Backlog ref #321 · verdict CONFIRMED</t>
        </is>
      </c>
    </row>
    <row r="348">
      <c r="A348">
        <v>337</v>
      </c>
      <c r="B348" t="inlineStr">
        <is>
          <t xml:space="preserve">Code Audit</t>
        </is>
      </c>
      <c r="C348" t="inlineStr">
        <is>
          <t xml:space="preserve">Organization · Events &amp; Staff</t>
        </is>
      </c>
      <c r="D348" t="inlineStr">
        <is>
          <t xml:space="preserve">Staff (Edit — Reporting-To / org chart)</t>
        </is>
      </c>
      <c r="E348" t="inlineStr">
        <is>
          <t xml:space="preserve">Org-chart cycle detection bound: In an org chart with a reporting depth greater than 10 levels, the cycle-check loop exits (`break`) before reaching the top of the chain without having found a cycle, so a cycle introduced at depth &gt;10 would pass validation undetected.</t>
        </is>
      </c>
      <c r="F348" t="inlineStr">
        <is>
          <t xml:space="preserve">Fix</t>
        </is>
      </c>
      <c r="G348" t="inlineStr">
        <is>
          <t xml:space="preserve">Low</t>
        </is>
      </c>
      <c r="H348" t="inlineStr">
        <is>
          <t xml:space="preserve">Built – audit finding</t>
        </is>
      </c>
      <c r="I348">
        <v>1.0</v>
      </c>
      <c r="J348">
        <v>0.5</v>
      </c>
      <c r="K348">
        <v>1.5</v>
      </c>
      <c r="L348" t="inlineStr">
        <is>
          <t xml:space="preserve">Backlog ref #322 · verdict CONFIRMED</t>
        </is>
      </c>
    </row>
    <row r="349">
      <c r="A349">
        <v>338</v>
      </c>
      <c r="B349" t="inlineStr">
        <is>
          <t xml:space="preserve">Code Audit</t>
        </is>
      </c>
      <c r="C349" t="inlineStr">
        <is>
          <t xml:space="preserve">Payments &amp; Financial Integrity</t>
        </is>
      </c>
      <c r="D349" t="inlineStr">
        <is>
          <t xml:space="preserve">Refund Processing (Screen #13) / CreateRefund</t>
        </is>
      </c>
      <c r="E349" t="inlineStr">
        <is>
          <t xml:space="preserve">Multi-tranche partial refund support: A donation that was partially refunded once can never receive a second, later partial refund (e.g., a donor initially refunded 20% for a program-cancellation adjustment, then later needs an additional partial refund for a separate reason)…</t>
        </is>
      </c>
      <c r="F349" t="inlineStr">
        <is>
          <t xml:space="preserve">Fix – Business Logic</t>
        </is>
      </c>
      <c r="G349" t="inlineStr">
        <is>
          <t xml:space="preserve">Low</t>
        </is>
      </c>
      <c r="H349" t="inlineStr">
        <is>
          <t xml:space="preserve">Built – audit finding</t>
        </is>
      </c>
      <c r="I349">
        <v>1.0</v>
      </c>
      <c r="J349">
        <v>0.5</v>
      </c>
      <c r="K349">
        <v>1.5</v>
      </c>
      <c r="L349" t="inlineStr">
        <is>
          <t xml:space="preserve">Backlog ref #323 · verdict CONFIRMED</t>
        </is>
      </c>
    </row>
    <row r="350">
      <c r="A350">
        <v>339</v>
      </c>
      <c r="B350" t="inlineStr">
        <is>
          <t xml:space="preserve">Code Audit</t>
        </is>
      </c>
      <c r="C350" t="inlineStr">
        <is>
          <t xml:space="preserve">Performance &amp; Scalability</t>
        </is>
      </c>
      <c r="D350" t="inlineStr">
        <is>
          <t xml:space="preserve">All MASTER_GRID screens (frontend) — auto-refresh polling</t>
        </is>
      </c>
      <c r="E350" t="inlineStr">
        <is>
          <t xml:space="preserve">Client-side auto-refresh interval: Auto-refreshing grids issue an unconditional network-only GraphQL request every 2 minutes regardless of whether the browser tab is visible/focused, and with no staggering, so many users with auto-refresh-enabled grids open simultaneously p…</t>
        </is>
      </c>
      <c r="F350" t="inlineStr">
        <is>
          <t xml:space="preserve">Fix – Performance</t>
        </is>
      </c>
      <c r="G350" t="inlineStr">
        <is>
          <t xml:space="preserve">Low</t>
        </is>
      </c>
      <c r="H350" t="inlineStr">
        <is>
          <t xml:space="preserve">Built – audit finding</t>
        </is>
      </c>
      <c r="I350">
        <v>1.5</v>
      </c>
      <c r="J350">
        <v>0.75</v>
      </c>
      <c r="K350">
        <v>2.25</v>
      </c>
      <c r="L350" t="inlineStr">
        <is>
          <t xml:space="preserve">Backlog ref #324 · verdict CONFIRMED</t>
        </is>
      </c>
    </row>
    <row r="351">
      <c r="A351">
        <v>340</v>
      </c>
      <c r="B351" t="inlineStr">
        <is>
          <t xml:space="preserve">Code Audit</t>
        </is>
      </c>
      <c r="C351" t="inlineStr">
        <is>
          <t xml:space="preserve">Performance &amp; Scalability</t>
        </is>
      </c>
      <c r="D351" t="inlineStr">
        <is>
          <t xml:space="preserve">Import module — dynamic field/lookup generation (used by all bulk-import wizard…</t>
        </is>
      </c>
      <c r="E351" t="inlineStr">
        <is>
          <t xml:space="preserve">Import lookup value caching: Caching was clearly intended (the IMemoryCache dependency is injected) but never wired up — every call to load grid lookup values (called once per import-template-generation request, per DynamicFieldGeneratorService.GenerateFieldsAsync at…</t>
        </is>
      </c>
      <c r="F351" t="inlineStr">
        <is>
          <t xml:space="preserve">Fix – Performance</t>
        </is>
      </c>
      <c r="G351" t="inlineStr">
        <is>
          <t xml:space="preserve">Low</t>
        </is>
      </c>
      <c r="H351" t="inlineStr">
        <is>
          <t xml:space="preserve">Built – audit finding</t>
        </is>
      </c>
      <c r="I351">
        <v>1.5</v>
      </c>
      <c r="J351">
        <v>0.75</v>
      </c>
      <c r="K351">
        <v>2.25</v>
      </c>
      <c r="L351" t="inlineStr">
        <is>
          <t xml:space="preserve">Backlog ref #325 · verdict CONFIRMED</t>
        </is>
      </c>
    </row>
    <row r="352">
      <c r="A352">
        <v>341</v>
      </c>
      <c r="B352" t="inlineStr">
        <is>
          <t xml:space="preserve">Code Audit</t>
        </is>
      </c>
      <c r="C352" t="inlineStr">
        <is>
          <t xml:space="preserve">Prayer · Certificate · General Masters</t>
        </is>
      </c>
      <c r="D352" t="inlineStr">
        <is>
          <t xml:space="preserve">Certificate Management — Process tab</t>
        </is>
      </c>
      <c r="E352" t="inlineStr">
        <is>
          <t xml:space="preserve">DeleteContactCertificate has no status guard: An already-Approved or already-Printed certificate — a document that may already have been physically handed/mailed to a donor — can be soft-deleted with no warning or restriction, removing it from all future listings/reports while the phy…</t>
        </is>
      </c>
      <c r="F352" t="inlineStr">
        <is>
          <t xml:space="preserve">Fix – Business Logic</t>
        </is>
      </c>
      <c r="G352" t="inlineStr">
        <is>
          <t xml:space="preserve">Low</t>
        </is>
      </c>
      <c r="H352" t="inlineStr">
        <is>
          <t xml:space="preserve">Built – audit finding</t>
        </is>
      </c>
      <c r="I352">
        <v>1.0</v>
      </c>
      <c r="J352">
        <v>0.5</v>
      </c>
      <c r="K352">
        <v>1.5</v>
      </c>
      <c r="L352" t="inlineStr">
        <is>
          <t xml:space="preserve">Backlog ref #326 · verdict CONFIRMED</t>
        </is>
      </c>
    </row>
    <row r="353">
      <c r="A353">
        <v>342</v>
      </c>
      <c r="B353" t="inlineStr">
        <is>
          <t xml:space="preserve">Code Audit</t>
        </is>
      </c>
      <c r="C353" t="inlineStr">
        <is>
          <t xml:space="preserve">Root · Auth · Layout · Dashboards</t>
        </is>
      </c>
      <c r="D353" t="inlineStr">
        <is>
          <t xml:space="preserve">Login / Forgot Password</t>
        </is>
      </c>
      <c r="E353" t="inlineStr">
        <is>
          <t xml:space="preserve">Locale-aware navigation: A user on the `/bn/login` or `/ar/login` page clicking 'Forgot password' is force-navigated into the English-locale route (`/en/forgot`), breaking the i18n experience mid-flow for exactly the two non-English locales the app explicitly supp…</t>
        </is>
      </c>
      <c r="F353" t="inlineStr">
        <is>
          <t xml:space="preserve">Fix – UI/UX</t>
        </is>
      </c>
      <c r="G353" t="inlineStr">
        <is>
          <t xml:space="preserve">Low</t>
        </is>
      </c>
      <c r="H353" t="inlineStr">
        <is>
          <t xml:space="preserve">Built – audit finding</t>
        </is>
      </c>
      <c r="I353">
        <v>1.0</v>
      </c>
      <c r="J353">
        <v>0.5</v>
      </c>
      <c r="K353">
        <v>1.5</v>
      </c>
      <c r="L353" t="inlineStr">
        <is>
          <t xml:space="preserve">Backlog ref #327 · verdict CONFIRMED</t>
        </is>
      </c>
    </row>
    <row r="354">
      <c r="A354">
        <v>343</v>
      </c>
      <c r="B354" t="inlineStr">
        <is>
          <t xml:space="preserve">Code Audit</t>
        </is>
      </c>
      <c r="C354" t="inlineStr">
        <is>
          <t xml:space="preserve">Root · Auth · Layout · Dashboards</t>
        </is>
      </c>
      <c r="D354" t="inlineStr">
        <is>
          <t xml:space="preserve">Root / App Layout</t>
        </is>
      </c>
      <c r="E354" t="inlineStr">
        <is>
          <t xml:space="preserve">Mobile safe-area / notch handling: No accommodation exists for device safe areas (notches, home-indicator bars) on mobile/PWA-style usage of fixed headers/footers.</t>
        </is>
      </c>
      <c r="F354" t="inlineStr">
        <is>
          <t xml:space="preserve">Fix – UI/UX</t>
        </is>
      </c>
      <c r="G354" t="inlineStr">
        <is>
          <t xml:space="preserve">Low</t>
        </is>
      </c>
      <c r="H354" t="inlineStr">
        <is>
          <t xml:space="preserve">Built – audit finding</t>
        </is>
      </c>
      <c r="I354">
        <v>1.0</v>
      </c>
      <c r="J354">
        <v>0.5</v>
      </c>
      <c r="K354">
        <v>1.5</v>
      </c>
      <c r="L354" t="inlineStr">
        <is>
          <t xml:space="preserve">Backlog ref #328 · verdict CONFIRMED</t>
        </is>
      </c>
    </row>
    <row r="355">
      <c r="A355">
        <v>344</v>
      </c>
      <c r="B355" t="inlineStr">
        <is>
          <t xml:space="preserve">Code Audit</t>
        </is>
      </c>
      <c r="C355" t="inlineStr">
        <is>
          <t xml:space="preserve">Security &amp; Access Control</t>
        </is>
      </c>
      <c r="D355" t="inlineStr">
        <is>
          <t xml:space="preserve">Data Import / Staging pipeline</t>
        </is>
      </c>
      <c r="E355" t="inlineStr">
        <is>
          <t xml:space="preserve">Potential SQL-identifier injection via import field names: If FieldName can ever contain a double-quote or other SQL-identifier metacharacter (its upstream source — likely the uploaded Excel header row via ImportController, which as noted above has no authorization — was not fully traced to a hard…</t>
        </is>
      </c>
      <c r="F355" t="inlineStr">
        <is>
          <t xml:space="preserve">Fix</t>
        </is>
      </c>
      <c r="G355" t="inlineStr">
        <is>
          <t xml:space="preserve">Low</t>
        </is>
      </c>
      <c r="H355" t="inlineStr">
        <is>
          <t xml:space="preserve">Built – audit finding</t>
        </is>
      </c>
      <c r="I355">
        <v>1.0</v>
      </c>
      <c r="J355">
        <v>0.5</v>
      </c>
      <c r="K355">
        <v>1.5</v>
      </c>
      <c r="L355" t="inlineStr">
        <is>
          <t xml:space="preserve">Backlog ref #329 · verdict CONFIRMED</t>
        </is>
      </c>
    </row>
    <row r="356">
      <c r="A356">
        <v>345</v>
      </c>
      <c r="B356" t="inlineStr">
        <is>
          <t xml:space="preserve">Code Audit</t>
        </is>
      </c>
      <c r="C356" t="inlineStr">
        <is>
          <t xml:space="preserve">Security &amp; Access Control</t>
        </is>
      </c>
      <c r="D356" t="inlineStr">
        <is>
          <t xml:space="preserve">Named CORS policy mismatch</t>
        </is>
      </c>
      <c r="E356" t="inlineStr">
        <is>
          <t xml:space="preserve">CORS policy configuration mismatch: UseApiServices() calls app.UseCors("CorsPolicy") after the anonymous global app.UseCors(opt =&gt; ...), but services.AddCors() is registered with no named policies configured anywhere in DependencyInjection.cs — the referenced CorsPolicy poli…</t>
        </is>
      </c>
      <c r="F356" t="inlineStr">
        <is>
          <t xml:space="preserve">Ops/Config</t>
        </is>
      </c>
      <c r="G356" t="inlineStr">
        <is>
          <t xml:space="preserve">Low</t>
        </is>
      </c>
      <c r="H356" t="inlineStr">
        <is>
          <t xml:space="preserve">Built – audit finding</t>
        </is>
      </c>
      <c r="I356">
        <v>1.0</v>
      </c>
      <c r="J356">
        <v>0.5</v>
      </c>
      <c r="K356">
        <v>1.5</v>
      </c>
      <c r="L356" t="inlineStr">
        <is>
          <t xml:space="preserve">Backlog ref #330 · verdict CONFIRMED</t>
        </is>
      </c>
    </row>
    <row r="357">
      <c r="A357">
        <v>346</v>
      </c>
      <c r="B357" t="inlineStr">
        <is>
          <t xml:space="preserve">Code Audit</t>
        </is>
      </c>
      <c r="C357" t="inlineStr">
        <is>
          <t xml:space="preserve">UI/UX &amp; Design-System Compliance</t>
        </is>
      </c>
      <c r="D357" t="inlineStr">
        <is>
          <t xml:space="preserve">All FLOW-generated dynamic forms (RJSF-driven)</t>
        </is>
      </c>
      <c r="E357" t="inlineStr">
        <is>
          <t xml:space="preserve">Field-level validation error message styling: Two components in the same RJSF template pipeline, both rendering error-adjacent text for the same forms, use two different color implementations (one token-based, one raw hex-equivalent).</t>
        </is>
      </c>
      <c r="F357" t="inlineStr">
        <is>
          <t xml:space="preserve">Fix – UI/UX</t>
        </is>
      </c>
      <c r="G357" t="inlineStr">
        <is>
          <t xml:space="preserve">Low</t>
        </is>
      </c>
      <c r="H357" t="inlineStr">
        <is>
          <t xml:space="preserve">Built – audit finding</t>
        </is>
      </c>
      <c r="I357">
        <v>1.0</v>
      </c>
      <c r="J357">
        <v>0.5</v>
      </c>
      <c r="K357">
        <v>1.5</v>
      </c>
      <c r="L357" t="inlineStr">
        <is>
          <t xml:space="preserve">Backlog ref #331 · verdict CONFIRMED</t>
        </is>
      </c>
    </row>
    <row r="358">
      <c r="A358">
        <v>347</v>
      </c>
      <c r="B358" t="inlineStr">
        <is>
          <t xml:space="preserve">Code Audit</t>
        </is>
      </c>
      <c r="C358" t="inlineStr">
        <is>
          <t xml:space="preserve">UI/UX &amp; Design-System Compliance</t>
        </is>
      </c>
      <c r="D358" t="inlineStr">
        <is>
          <t xml:space="preserve">All grid screens (MASTER_GRID pattern), structural</t>
        </is>
      </c>
      <c r="E358" t="inlineStr">
        <is>
          <t xml:space="preserve">Grid engine implementation (basic / advanced / flow variants): Any UI/UX defect found in one variant (as demonstrated by the identical duplicated raw error box and the error-swallowing pattern found in this audit) must be independently verified and fixed in up to three places, and can silently drift o…</t>
        </is>
      </c>
      <c r="F358" t="inlineStr">
        <is>
          <t xml:space="preserve">Fix</t>
        </is>
      </c>
      <c r="G358" t="inlineStr">
        <is>
          <t xml:space="preserve">Low</t>
        </is>
      </c>
      <c r="H358" t="inlineStr">
        <is>
          <t xml:space="preserve">Built – audit finding</t>
        </is>
      </c>
      <c r="I358">
        <v>1.0</v>
      </c>
      <c r="J358">
        <v>0.5</v>
      </c>
      <c r="K358">
        <v>1.5</v>
      </c>
      <c r="L358" t="inlineStr">
        <is>
          <t xml:space="preserve">Backlog ref #332 · verdict CONFIRMED</t>
        </is>
      </c>
    </row>
    <row r="359">
      <c r="A359">
        <v>348</v>
      </c>
      <c r="B359" t="inlineStr">
        <is>
          <t xml:space="preserve">Code Audit</t>
        </is>
      </c>
      <c r="C359" t="inlineStr">
        <is>
          <t xml:space="preserve">UI/UX &amp; Design-System Compliance</t>
        </is>
      </c>
      <c r="D359" t="inlineStr">
        <is>
          <t xml:space="preserve">Application-wide, mobile/tablet viewports</t>
        </is>
      </c>
      <c r="E359" t="inlineStr">
        <is>
          <t xml:space="preserve">Safe-area handling for notched/gesture-bar devices: Fixed headers/footers/bottom sheets and full-screen modals have no accommodation for device safe areas (notches, home-indicator bars) on modern mobile devices.</t>
        </is>
      </c>
      <c r="F359" t="inlineStr">
        <is>
          <t xml:space="preserve">Fix – UI/UX</t>
        </is>
      </c>
      <c r="G359" t="inlineStr">
        <is>
          <t xml:space="preserve">Low</t>
        </is>
      </c>
      <c r="H359" t="inlineStr">
        <is>
          <t xml:space="preserve">Built – audit finding</t>
        </is>
      </c>
      <c r="I359">
        <v>1.0</v>
      </c>
      <c r="J359">
        <v>0.5</v>
      </c>
      <c r="K359">
        <v>1.5</v>
      </c>
      <c r="L359" t="inlineStr">
        <is>
          <t xml:space="preserve">Backlog ref #333 · verdict CONFIRMED</t>
        </is>
      </c>
    </row>
    <row r="360">
      <c r="A360">
        <v>349</v>
      </c>
      <c r="B360" t="inlineStr">
        <is>
          <t xml:space="preserve">Code Audit</t>
        </is>
      </c>
      <c r="C360" t="inlineStr">
        <is>
          <t xml:space="preserve">UI/UX &amp; Design-System Compliance</t>
        </is>
      </c>
      <c r="D360" t="inlineStr">
        <is>
          <t xml:space="preserve">Screens using ScreenHeader's fullscreen toggle</t>
        </is>
      </c>
      <c r="E360" t="inlineStr">
        <is>
          <t xml:space="preserve">Fullscreen toggle icon button: Relies on the native title attribute as the accessible name mechanism instead of an explicit aria-label.</t>
        </is>
      </c>
      <c r="F360" t="inlineStr">
        <is>
          <t xml:space="preserve">Fix – UI/UX</t>
        </is>
      </c>
      <c r="G360" t="inlineStr">
        <is>
          <t xml:space="preserve">Low</t>
        </is>
      </c>
      <c r="H360" t="inlineStr">
        <is>
          <t xml:space="preserve">Built – audit finding</t>
        </is>
      </c>
      <c r="I360">
        <v>1.0</v>
      </c>
      <c r="J360">
        <v>0.5</v>
      </c>
      <c r="K360">
        <v>1.5</v>
      </c>
      <c r="L360" t="inlineStr">
        <is>
          <t xml:space="preserve">Backlog ref #334 · verdict CONFIRMED</t>
        </is>
      </c>
    </row>
    <row r="361">
      <c r="A361">
        <v>350</v>
      </c>
      <c r="B361" t="inlineStr">
        <is>
          <t xml:space="preserve">Code Audit</t>
        </is>
      </c>
      <c r="C361" t="inlineStr">
        <is>
          <t xml:space="preserve">Volunteer &amp; Membership</t>
        </is>
      </c>
      <c r="D361" t="inlineStr">
        <is>
          <t xml:space="preserve">Membership Tier (Benefits)</t>
        </is>
      </c>
      <c r="E361" t="inlineStr">
        <is>
          <t xml:space="preserve">Tier benefit entitlement enforcement: Membership tier 'benefits' are purely descriptive marketing text with no functional linkage to any actual system entitlement (e.g., discounted event pricing, gated portal sections, special access) — the benefits table is data-entry-only.</t>
        </is>
      </c>
      <c r="F361" t="inlineStr">
        <is>
          <t xml:space="preserve">Fix – Business Logic</t>
        </is>
      </c>
      <c r="G361" t="inlineStr">
        <is>
          <t xml:space="preserve">Low</t>
        </is>
      </c>
      <c r="H361" t="inlineStr">
        <is>
          <t xml:space="preserve">Built – audit finding</t>
        </is>
      </c>
      <c r="I361">
        <v>1.0</v>
      </c>
      <c r="J361">
        <v>0.5</v>
      </c>
      <c r="K361">
        <v>1.5</v>
      </c>
      <c r="L361" t="inlineStr">
        <is>
          <t xml:space="preserve">Backlog ref #335 · verdict CONFIRMED</t>
        </is>
      </c>
    </row>
  </sheetData>
  <autoFilter ref="A11:L361"/>
  <mergeCells count="2">
    <mergeCell ref="A1:L1"/>
    <mergeCell ref="A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2026-04-29T12:00:24Z</dcterms:created>
  <dcterms:modified xsi:type="dcterms:W3CDTF">2026-07-14T09:43:48Z</dcterms:modified>
  <cp:category/>
  <cp:contentStatus/>
</cp:coreProperties>
</file>