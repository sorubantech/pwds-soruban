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epos\PWDS\pwds-soruban\pss-2.0-global\.claude\screen-tracker\"/>
    </mc:Choice>
  </mc:AlternateContent>
  <bookViews>
    <workbookView xWindow="0" yWindow="0" windowWidth="23040" windowHeight="9072"/>
  </bookViews>
  <sheets>
    <sheet name="Screen Status" sheetId="2" r:id="rId1"/>
    <sheet name="Summary" sheetId="1" r:id="rId2"/>
    <sheet name="Lookups" sheetId="3" state="hidden" r:id="rId3"/>
  </sheets>
  <externalReferences>
    <externalReference r:id="rId4"/>
  </externalReferences>
  <definedNames>
    <definedName name="_xlnm._FilterDatabase" localSheetId="0" hidden="1">'Screen Status'!$A$1:$K$107</definedName>
  </definedNames>
  <calcPr calcId="162913"/>
</workbook>
</file>

<file path=xl/calcChain.xml><?xml version="1.0" encoding="utf-8"?>
<calcChain xmlns="http://schemas.openxmlformats.org/spreadsheetml/2006/main">
  <c r="J56" i="1" l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4" i="1"/>
  <c r="I54" i="1"/>
  <c r="H54" i="1"/>
  <c r="G54" i="1"/>
  <c r="F54" i="1"/>
  <c r="E54" i="1"/>
  <c r="D54" i="1"/>
  <c r="C54" i="1"/>
  <c r="B54" i="1"/>
  <c r="J53" i="1"/>
  <c r="I53" i="1"/>
  <c r="H53" i="1"/>
  <c r="G53" i="1"/>
  <c r="F53" i="1"/>
  <c r="K53" i="1" s="1"/>
  <c r="E53" i="1"/>
  <c r="D53" i="1"/>
  <c r="C53" i="1"/>
  <c r="B53" i="1"/>
  <c r="E49" i="1"/>
  <c r="D49" i="1"/>
  <c r="C49" i="1"/>
  <c r="B49" i="1"/>
  <c r="E48" i="1"/>
  <c r="D48" i="1"/>
  <c r="C48" i="1"/>
  <c r="B48" i="1"/>
  <c r="E47" i="1"/>
  <c r="D47" i="1"/>
  <c r="C47" i="1"/>
  <c r="B47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K24" i="1"/>
  <c r="J24" i="1"/>
  <c r="I24" i="1"/>
  <c r="H24" i="1"/>
  <c r="G24" i="1"/>
  <c r="F24" i="1"/>
  <c r="E24" i="1"/>
  <c r="D24" i="1"/>
  <c r="C24" i="1"/>
  <c r="B24" i="1"/>
  <c r="K23" i="1"/>
  <c r="J23" i="1"/>
  <c r="I23" i="1"/>
  <c r="H23" i="1"/>
  <c r="G23" i="1"/>
  <c r="F23" i="1"/>
  <c r="E23" i="1"/>
  <c r="D23" i="1"/>
  <c r="C23" i="1"/>
  <c r="B23" i="1"/>
  <c r="K22" i="1"/>
  <c r="J22" i="1"/>
  <c r="I22" i="1"/>
  <c r="H22" i="1"/>
  <c r="G22" i="1"/>
  <c r="F22" i="1"/>
  <c r="E22" i="1"/>
  <c r="D22" i="1"/>
  <c r="C22" i="1"/>
  <c r="B22" i="1"/>
  <c r="K21" i="1"/>
  <c r="J21" i="1"/>
  <c r="I21" i="1"/>
  <c r="H21" i="1"/>
  <c r="G21" i="1"/>
  <c r="F21" i="1"/>
  <c r="E21" i="1"/>
  <c r="D21" i="1"/>
  <c r="C21" i="1"/>
  <c r="B21" i="1"/>
  <c r="K20" i="1"/>
  <c r="J20" i="1"/>
  <c r="I20" i="1"/>
  <c r="H20" i="1"/>
  <c r="G20" i="1"/>
  <c r="F20" i="1"/>
  <c r="E20" i="1"/>
  <c r="D20" i="1"/>
  <c r="C20" i="1"/>
  <c r="B20" i="1"/>
  <c r="K19" i="1"/>
  <c r="J19" i="1"/>
  <c r="I19" i="1"/>
  <c r="H19" i="1"/>
  <c r="G19" i="1"/>
  <c r="F19" i="1"/>
  <c r="E19" i="1"/>
  <c r="D19" i="1"/>
  <c r="C19" i="1"/>
  <c r="B19" i="1"/>
  <c r="K18" i="1"/>
  <c r="J18" i="1"/>
  <c r="I18" i="1"/>
  <c r="H18" i="1"/>
  <c r="G18" i="1"/>
  <c r="F18" i="1"/>
  <c r="E18" i="1"/>
  <c r="D18" i="1"/>
  <c r="C18" i="1"/>
  <c r="B18" i="1"/>
  <c r="K17" i="1"/>
  <c r="J17" i="1"/>
  <c r="I17" i="1"/>
  <c r="H17" i="1"/>
  <c r="G17" i="1"/>
  <c r="F17" i="1"/>
  <c r="E17" i="1"/>
  <c r="D17" i="1"/>
  <c r="C17" i="1"/>
  <c r="B17" i="1"/>
  <c r="K16" i="1"/>
  <c r="J16" i="1"/>
  <c r="I16" i="1"/>
  <c r="H16" i="1"/>
  <c r="G16" i="1"/>
  <c r="F16" i="1"/>
  <c r="E16" i="1"/>
  <c r="D16" i="1"/>
  <c r="C16" i="1"/>
  <c r="B16" i="1"/>
  <c r="K15" i="1"/>
  <c r="J15" i="1"/>
  <c r="I15" i="1"/>
  <c r="H15" i="1"/>
  <c r="G15" i="1"/>
  <c r="F15" i="1"/>
  <c r="E15" i="1"/>
  <c r="D15" i="1"/>
  <c r="C15" i="1"/>
  <c r="B15" i="1"/>
  <c r="K14" i="1"/>
  <c r="J14" i="1"/>
  <c r="I14" i="1"/>
  <c r="H14" i="1"/>
  <c r="G14" i="1"/>
  <c r="F14" i="1"/>
  <c r="E14" i="1"/>
  <c r="D14" i="1"/>
  <c r="C14" i="1"/>
  <c r="B14" i="1"/>
  <c r="K13" i="1"/>
  <c r="J13" i="1"/>
  <c r="I13" i="1"/>
  <c r="H13" i="1"/>
  <c r="G13" i="1"/>
  <c r="F13" i="1"/>
  <c r="E13" i="1"/>
  <c r="D13" i="1"/>
  <c r="C13" i="1"/>
  <c r="B13" i="1"/>
  <c r="K12" i="1"/>
  <c r="J12" i="1"/>
  <c r="I12" i="1"/>
  <c r="H12" i="1"/>
  <c r="G12" i="1"/>
  <c r="F12" i="1"/>
  <c r="E12" i="1"/>
  <c r="D12" i="1"/>
  <c r="C12" i="1"/>
  <c r="B12" i="1"/>
  <c r="K11" i="1"/>
  <c r="J11" i="1"/>
  <c r="I11" i="1"/>
  <c r="H11" i="1"/>
  <c r="G11" i="1"/>
  <c r="F11" i="1"/>
  <c r="E11" i="1"/>
  <c r="D11" i="1"/>
  <c r="C11" i="1"/>
  <c r="B11" i="1"/>
  <c r="K10" i="1"/>
  <c r="J10" i="1"/>
  <c r="I10" i="1"/>
  <c r="H10" i="1"/>
  <c r="G10" i="1"/>
  <c r="F10" i="1"/>
  <c r="E10" i="1"/>
  <c r="D10" i="1"/>
  <c r="C10" i="1"/>
  <c r="B10" i="1"/>
  <c r="K9" i="1"/>
  <c r="J9" i="1"/>
  <c r="I9" i="1"/>
  <c r="H9" i="1"/>
  <c r="G9" i="1"/>
  <c r="F9" i="1"/>
  <c r="E9" i="1"/>
  <c r="D9" i="1"/>
  <c r="C9" i="1"/>
  <c r="B9" i="1"/>
  <c r="I5" i="1"/>
  <c r="H5" i="1"/>
  <c r="G5" i="1"/>
  <c r="F5" i="1"/>
  <c r="E5" i="1"/>
  <c r="D5" i="1"/>
  <c r="C5" i="1"/>
  <c r="B5" i="1"/>
  <c r="A5" i="1"/>
  <c r="K56" i="1" l="1"/>
  <c r="K55" i="1"/>
  <c r="K54" i="1"/>
</calcChain>
</file>

<file path=xl/sharedStrings.xml><?xml version="1.0" encoding="utf-8"?>
<sst xmlns="http://schemas.openxmlformats.org/spreadsheetml/2006/main" count="982" uniqueCount="195">
  <si>
    <t>PSS 2.0 — Screen Status Summary</t>
  </si>
  <si>
    <t>Generated 2026-04-28 · Total screens: 106 · Source: Screen Status sheet (live formulas)</t>
  </si>
  <si>
    <t>Total</t>
  </si>
  <si>
    <t>Completed</t>
  </si>
  <si>
    <t>Needs Fix</t>
  </si>
  <si>
    <t>In Progress</t>
  </si>
  <si>
    <t>Ready to Build</t>
  </si>
  <si>
    <t>Not Started</t>
  </si>
  <si>
    <t>Upcoming</t>
  </si>
  <si>
    <t>Dev Tested (Passed)</t>
  </si>
  <si>
    <t>QA Tested (Passed)</t>
  </si>
  <si>
    <t>① Development Status by Module</t>
  </si>
  <si>
    <t>Module</t>
  </si>
  <si>
    <t>Completed - Needs Fix</t>
  </si>
  <si>
    <t>In Progress (Partial)</t>
  </si>
  <si>
    <t>Upcoming (Dashboard)</t>
  </si>
  <si>
    <t>Upcoming (Config)</t>
  </si>
  <si>
    <t>Upcoming (Mobile)</t>
  </si>
  <si>
    <t>AI Intelligence</t>
  </si>
  <si>
    <t>Administration</t>
  </si>
  <si>
    <t>Case Management</t>
  </si>
  <si>
    <t>Communication</t>
  </si>
  <si>
    <t>Contacts</t>
  </si>
  <si>
    <t>Field Collection</t>
  </si>
  <si>
    <t>Fundraising</t>
  </si>
  <si>
    <t>Grants</t>
  </si>
  <si>
    <t>Membership</t>
  </si>
  <si>
    <t>Mobile</t>
  </si>
  <si>
    <t>Organization</t>
  </si>
  <si>
    <t>Reports</t>
  </si>
  <si>
    <t>Root / Layout</t>
  </si>
  <si>
    <t>Settings</t>
  </si>
  <si>
    <t>Volunteer</t>
  </si>
  <si>
    <t>② Testing Progress (Dev + QA)</t>
  </si>
  <si>
    <t>Dev: Not Started</t>
  </si>
  <si>
    <t>Dev: Pending</t>
  </si>
  <si>
    <t>Dev: In Testing</t>
  </si>
  <si>
    <t>Dev: Passed</t>
  </si>
  <si>
    <t>Dev: Failed</t>
  </si>
  <si>
    <t>Dev: Issues Found</t>
  </si>
  <si>
    <t>Dev: Blocked</t>
  </si>
  <si>
    <t>Dev: N/A</t>
  </si>
  <si>
    <t>QA: Not Started</t>
  </si>
  <si>
    <t>QA: Pending</t>
  </si>
  <si>
    <t>QA: In Testing</t>
  </si>
  <si>
    <t>QA: Passed</t>
  </si>
  <si>
    <t>QA: Failed</t>
  </si>
  <si>
    <t>QA: Issues Found</t>
  </si>
  <si>
    <t>QA: Blocked</t>
  </si>
  <si>
    <t>QA: N/A</t>
  </si>
  <si>
    <t>③ Priority Breakdown</t>
  </si>
  <si>
    <t>Priority</t>
  </si>
  <si>
    <t>Other (Ready / Not Started / Upcoming)</t>
  </si>
  <si>
    <t>High</t>
  </si>
  <si>
    <t>Medium</t>
  </si>
  <si>
    <t>Low</t>
  </si>
  <si>
    <t>④ Team Workload (counts ONLY when work is actually done)</t>
  </si>
  <si>
    <t>Team Member</t>
  </si>
  <si>
    <t>Dev Completed</t>
  </si>
  <si>
    <t>Dev: Issues</t>
  </si>
  <si>
    <t>QA: Issues</t>
  </si>
  <si>
    <t>Total Engaged</t>
  </si>
  <si>
    <t>Karthick</t>
  </si>
  <si>
    <t>Saranya</t>
  </si>
  <si>
    <t>Kavin</t>
  </si>
  <si>
    <t>Sangeetha</t>
  </si>
  <si>
    <t>Screen #</t>
  </si>
  <si>
    <t>Screen Name</t>
  </si>
  <si>
    <t>Type</t>
  </si>
  <si>
    <t>Development Status</t>
  </si>
  <si>
    <t>Development Done By</t>
  </si>
  <si>
    <t>Dev Testing Status</t>
  </si>
  <si>
    <t>Dev Tested By</t>
  </si>
  <si>
    <t>QA Testing Status</t>
  </si>
  <si>
    <t>QA Tested By</t>
  </si>
  <si>
    <t>Donation (Global)</t>
  </si>
  <si>
    <t>FLOW</t>
  </si>
  <si>
    <t>Pending</t>
  </si>
  <si>
    <t>Donation Purpose</t>
  </si>
  <si>
    <t>MASTER_GRID</t>
  </si>
  <si>
    <t>Donation Category</t>
  </si>
  <si>
    <t>Donation Group</t>
  </si>
  <si>
    <t>Bulk Donation</t>
  </si>
  <si>
    <t>Cheque Donation</t>
  </si>
  <si>
    <t>In-Kind Donation</t>
  </si>
  <si>
    <t>Recurring Donation</t>
  </si>
  <si>
    <t>Receipt (GlobalReceipt)</t>
  </si>
  <si>
    <t>Online Donation Setup</t>
  </si>
  <si>
    <t>Matching Gift</t>
  </si>
  <si>
    <t>Pledge</t>
  </si>
  <si>
    <t>Refund</t>
  </si>
  <si>
    <t>Payment Reconciliation</t>
  </si>
  <si>
    <t>P2P Campaign</t>
  </si>
  <si>
    <t>Crowdfunding</t>
  </si>
  <si>
    <t>Fundraising Dashboard</t>
  </si>
  <si>
    <t>Dashboard</t>
  </si>
  <si>
    <t>N/A (Upcoming)</t>
  </si>
  <si>
    <t>Contact</t>
  </si>
  <si>
    <t>Contact Type</t>
  </si>
  <si>
    <t>Blocked - Awaiting Fix</t>
  </si>
  <si>
    <t>Family</t>
  </si>
  <si>
    <t>Duplicate Detection</t>
  </si>
  <si>
    <t>Tags &amp; Segmentation</t>
  </si>
  <si>
    <t>Contact Import</t>
  </si>
  <si>
    <t>Email Template</t>
  </si>
  <si>
    <t>Email Campaign/SendJob</t>
  </si>
  <si>
    <t>Placeholder Definition</t>
  </si>
  <si>
    <t>Saved Filter</t>
  </si>
  <si>
    <t>Company Email Provider</t>
  </si>
  <si>
    <t>SMS Template</t>
  </si>
  <si>
    <t>SMS Campaign</t>
  </si>
  <si>
    <t>WhatsApp Template</t>
  </si>
  <si>
    <t>WhatsApp Campaign</t>
  </si>
  <si>
    <t>WhatsApp Conversations</t>
  </si>
  <si>
    <t>WhatsApp Setup</t>
  </si>
  <si>
    <t>Config</t>
  </si>
  <si>
    <t>Notification Center</t>
  </si>
  <si>
    <t>Notification Templates</t>
  </si>
  <si>
    <t>Automation Workflow</t>
  </si>
  <si>
    <t>Email Analytics</t>
  </si>
  <si>
    <t>Campaign</t>
  </si>
  <si>
    <t>Event</t>
  </si>
  <si>
    <t>Branch</t>
  </si>
  <si>
    <t>Staff</t>
  </si>
  <si>
    <t>Staff Category</t>
  </si>
  <si>
    <t>Organizational Unit</t>
  </si>
  <si>
    <t>Company</t>
  </si>
  <si>
    <t>Event Ticketing</t>
  </si>
  <si>
    <t>Event Analytics</t>
  </si>
  <si>
    <t>Auction Management</t>
  </si>
  <si>
    <t>Beneficiary</t>
  </si>
  <si>
    <t>Case</t>
  </si>
  <si>
    <t>Program</t>
  </si>
  <si>
    <t>Case Dashboard</t>
  </si>
  <si>
    <t>Volunteer Schedule</t>
  </si>
  <si>
    <t>Hour Tracking</t>
  </si>
  <si>
    <t>Volunteer Conversion</t>
  </si>
  <si>
    <t>Volunteer Dashboard</t>
  </si>
  <si>
    <t>Membership Tier</t>
  </si>
  <si>
    <t>Member Enrollment</t>
  </si>
  <si>
    <t>Membership Renewal</t>
  </si>
  <si>
    <t>Member Portal</t>
  </si>
  <si>
    <t>Grant</t>
  </si>
  <si>
    <t>Grant Report</t>
  </si>
  <si>
    <t>Grant Calendar</t>
  </si>
  <si>
    <t>Receipt Book</t>
  </si>
  <si>
    <t>Ambassador</t>
  </si>
  <si>
    <t>Collection Distribution</t>
  </si>
  <si>
    <t>Ambassador Dashboard</t>
  </si>
  <si>
    <t>Role Management</t>
  </si>
  <si>
    <t>Menu Management</t>
  </si>
  <si>
    <t>User Management</t>
  </si>
  <si>
    <t>Role-Capability Matrix</t>
  </si>
  <si>
    <t>Audit Trail</t>
  </si>
  <si>
    <t>Company Settings</t>
  </si>
  <si>
    <t>Master Data</t>
  </si>
  <si>
    <t>Grid Config</t>
  </si>
  <si>
    <t>Dashboard Config</t>
  </si>
  <si>
    <t>Currency Management</t>
  </si>
  <si>
    <t>Region Hierarchy</t>
  </si>
  <si>
    <t>Document Types</t>
  </si>
  <si>
    <t>Custom Fields</t>
  </si>
  <si>
    <t>Certificate Templates</t>
  </si>
  <si>
    <t>Email Provider Config</t>
  </si>
  <si>
    <t>Organization Settings</t>
  </si>
  <si>
    <t>API Management</t>
  </si>
  <si>
    <t>Integration Marketplace</t>
  </si>
  <si>
    <t>Accounting Integration</t>
  </si>
  <si>
    <t>Social Media Integration</t>
  </si>
  <si>
    <t>Engagement Scoring</t>
  </si>
  <si>
    <t>Churn Prediction</t>
  </si>
  <si>
    <t>Action Board</t>
  </si>
  <si>
    <t>AI Draft</t>
  </si>
  <si>
    <t>NL Reporting</t>
  </si>
  <si>
    <t>Predictive Analytics</t>
  </si>
  <si>
    <t>Custom Report Builder</t>
  </si>
  <si>
    <t>PowerBI Viewer</t>
  </si>
  <si>
    <t>Donor Retention Dashboard</t>
  </si>
  <si>
    <t>Report Catalog</t>
  </si>
  <si>
    <t>HTML Report Viewer</t>
  </si>
  <si>
    <t>Scheduled Reports</t>
  </si>
  <si>
    <t>102-118</t>
  </si>
  <si>
    <t>Donor App (8 screens) + Agent App (9 screens)</t>
  </si>
  <si>
    <t>Login</t>
  </si>
  <si>
    <t>Auth</t>
  </si>
  <si>
    <t>Main Dashboard</t>
  </si>
  <si>
    <t>App Layout</t>
  </si>
  <si>
    <t>Layout</t>
  </si>
  <si>
    <t>Contact Source</t>
  </si>
  <si>
    <t>Testing Status</t>
  </si>
  <si>
    <t>Team Members</t>
  </si>
  <si>
    <t>In Testing</t>
  </si>
  <si>
    <t>Passed</t>
  </si>
  <si>
    <t>Failed</t>
  </si>
  <si>
    <t>Issues Found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</si>
</sst>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color rgb="FF92400E"/>
      <name val="Calibri"/>
    </font>
    <font>
      <b/>
      <sz val="10"/>
      <color rgb="FF166534"/>
      <name val="Calibri"/>
    </font>
    <font>
      <b/>
      <sz val="10"/>
      <color rgb="FF6B21A8"/>
      <name val="Calibri"/>
    </font>
    <font>
      <b/>
      <sz val="10"/>
      <color rgb="FF4B5563"/>
      <name val="Calibri"/>
    </font>
    <font>
      <b/>
      <sz val="10"/>
      <color rgb="FF854D0E"/>
      <name val="Calibri"/>
    </font>
    <font>
      <b/>
      <sz val="10"/>
      <color rgb="FF991B1B"/>
      <name val="Calibri"/>
    </font>
    <font>
      <b/>
      <sz val="10"/>
      <color rgb="FF075985"/>
      <name val="Calibri"/>
    </font>
    <font>
      <b/>
      <sz val="10"/>
      <color rgb="FF3730A3"/>
      <name val="Calibri"/>
    </font>
    <font>
      <b/>
      <sz val="10"/>
      <color rgb="FF1E40AF"/>
      <name val="Calibri"/>
    </font>
    <font>
      <b/>
      <sz val="18"/>
      <color rgb="FF111827"/>
      <name val="Calibri"/>
    </font>
    <font>
      <sz val="11"/>
      <color rgb="FF6B7280"/>
      <name val="Calibri"/>
    </font>
    <font>
      <b/>
      <sz val="10"/>
      <color rgb="FF6B7280"/>
      <name val="Calibri"/>
    </font>
    <font>
      <b/>
      <sz val="24"/>
      <color rgb="FF1F2937"/>
      <name val="Calibri"/>
    </font>
    <font>
      <b/>
      <sz val="24"/>
      <color rgb="FF166534"/>
      <name val="Calibri"/>
    </font>
    <font>
      <b/>
      <sz val="24"/>
      <color rgb="FF92400E"/>
      <name val="Calibri"/>
    </font>
    <font>
      <b/>
      <sz val="24"/>
      <color rgb="FF854D0E"/>
      <name val="Calibri"/>
    </font>
    <font>
      <b/>
      <sz val="24"/>
      <color rgb="FF1E40AF"/>
      <name val="Calibri"/>
    </font>
    <font>
      <b/>
      <sz val="24"/>
      <color rgb="FF4B5563"/>
      <name val="Calibri"/>
    </font>
    <font>
      <b/>
      <sz val="24"/>
      <color rgb="FF3730A3"/>
      <name val="Calibri"/>
    </font>
    <font>
      <b/>
      <sz val="24"/>
      <color rgb="FF155E75"/>
      <name val="Calibri"/>
    </font>
    <font>
      <b/>
      <sz val="24"/>
      <color rgb="FF6B21A8"/>
      <name val="Calibri"/>
    </font>
    <font>
      <b/>
      <sz val="12"/>
      <color rgb="FFFFFFFF"/>
      <name val="Calibri"/>
    </font>
    <font>
      <b/>
      <sz val="10"/>
      <color rgb="FF374151"/>
      <name val="Calibri"/>
    </font>
    <font>
      <sz val="10"/>
      <color rgb="FF111827"/>
      <name val="Calibri"/>
    </font>
    <font>
      <b/>
      <sz val="10"/>
      <color rgb="FF111827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EF3C7"/>
      </patternFill>
    </fill>
    <fill>
      <patternFill patternType="solid">
        <fgColor rgb="FFDCFCE7"/>
      </patternFill>
    </fill>
    <fill>
      <patternFill patternType="solid">
        <fgColor rgb="FFEDE9FE"/>
      </patternFill>
    </fill>
    <fill>
      <patternFill patternType="solid">
        <fgColor rgb="FFF3F4F6"/>
      </patternFill>
    </fill>
    <fill>
      <patternFill patternType="solid">
        <fgColor rgb="FFFEF9C3"/>
      </patternFill>
    </fill>
    <fill>
      <patternFill patternType="solid">
        <fgColor rgb="FFFEE2E2"/>
      </patternFill>
    </fill>
    <fill>
      <patternFill patternType="solid">
        <fgColor rgb="FFE0F2FE"/>
      </patternFill>
    </fill>
    <fill>
      <patternFill patternType="solid">
        <fgColor rgb="FFE0E7FF"/>
      </patternFill>
    </fill>
    <fill>
      <patternFill patternType="solid">
        <fgColor rgb="FFDBEAFE"/>
      </patternFill>
    </fill>
    <fill>
      <patternFill patternType="solid">
        <fgColor rgb="FFE5E7EB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3" fillId="6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indent="1"/>
    </xf>
    <xf numFmtId="0" fontId="25" fillId="0" borderId="1" xfId="0" applyFont="1" applyBorder="1" applyAlignment="1">
      <alignment horizontal="center" vertical="center"/>
    </xf>
    <xf numFmtId="0" fontId="26" fillId="12" borderId="1" xfId="0" applyFont="1" applyFill="1" applyBorder="1" applyAlignment="1">
      <alignment horizontal="center" vertical="center"/>
    </xf>
    <xf numFmtId="0" fontId="26" fillId="12" borderId="1" xfId="0" applyFont="1" applyFill="1" applyBorder="1" applyAlignment="1">
      <alignment horizontal="left" vertical="center" indent="1"/>
    </xf>
    <xf numFmtId="0" fontId="26" fillId="0" borderId="1" xfId="0" applyFont="1" applyBorder="1" applyAlignment="1">
      <alignment horizontal="left" vertical="center" inden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23" fillId="2" borderId="0" xfId="0" applyFont="1" applyFill="1" applyAlignment="1">
      <alignment horizontal="left" vertical="center" indent="1"/>
    </xf>
    <xf numFmtId="0" fontId="0" fillId="0" borderId="0" xfId="0"/>
    <xf numFmtId="0" fontId="12" fillId="0" borderId="0" xfId="0" applyFont="1"/>
    <xf numFmtId="0" fontId="11" fillId="0" borderId="0" xfId="0" applyFont="1"/>
  </cellXfs>
  <cellStyles count="1">
    <cellStyle name="Normal" xfId="0" builtinId="0"/>
  </cellStyles>
  <dxfs count="117"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854D0E"/>
      </font>
      <fill>
        <patternFill patternType="solid">
          <fgColor rgb="FFFEF9C3"/>
        </patternFill>
      </fill>
    </dxf>
    <dxf>
      <font>
        <b/>
        <sz val="10"/>
        <color rgb="FF1E40AF"/>
      </font>
      <fill>
        <patternFill patternType="solid">
          <fgColor rgb="FFDBEA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155E75"/>
      </font>
      <fill>
        <patternFill patternType="solid">
          <fgColor rgb="FFCFFAFE"/>
        </patternFill>
      </fill>
    </dxf>
    <dxf>
      <font>
        <b/>
        <sz val="10"/>
        <color rgb="FF6B21A8"/>
      </font>
      <fill>
        <patternFill patternType="solid">
          <fgColor rgb="FFEDE9FE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3730A3"/>
      </font>
      <fill>
        <patternFill patternType="solid">
          <fgColor rgb="FFE0E7FF"/>
        </patternFill>
      </fill>
    </dxf>
    <dxf>
      <font>
        <b/>
        <sz val="10"/>
        <color rgb="FF4B5563"/>
      </font>
      <fill>
        <patternFill patternType="solid">
          <fgColor rgb="FFF3F4F6"/>
        </patternFill>
      </fill>
    </dxf>
    <dxf>
      <font>
        <b/>
        <sz val="10"/>
        <color rgb="FF854D0E"/>
      </font>
      <fill>
        <patternFill patternType="solid">
          <fgColor rgb="FFFEF9C3"/>
        </patternFill>
      </fill>
    </dxf>
    <dxf>
      <font>
        <b/>
        <sz val="10"/>
        <color rgb="FF1E40AF"/>
      </font>
      <fill>
        <patternFill patternType="solid">
          <fgColor rgb="FFDBEA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166534"/>
      </font>
      <fill>
        <patternFill patternType="solid">
          <fgColor rgb="FFDCFCE7"/>
        </patternFill>
      </fill>
    </dxf>
    <dxf>
      <font>
        <b/>
        <sz val="10"/>
        <color rgb="FF075985"/>
      </font>
      <fill>
        <patternFill patternType="solid">
          <fgColor rgb="FFE0F2FE"/>
        </patternFill>
      </fill>
    </dxf>
    <dxf>
      <font>
        <b/>
        <sz val="10"/>
        <color rgb="FF92400E"/>
      </font>
      <fill>
        <patternFill patternType="solid">
          <fgColor rgb="FFFEF3C7"/>
        </patternFill>
      </fill>
    </dxf>
    <dxf>
      <font>
        <b/>
        <sz val="10"/>
        <color rgb="FF991B1B"/>
      </font>
      <fill>
        <patternFill patternType="solid">
          <f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CREEN-STATUS-OVERVI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7"/>
  <sheetViews>
    <sheetView tabSelected="1" workbookViewId="0">
      <pane xSplit="1" ySplit="1" topLeftCell="B98" activePane="bottomRight" state="frozen"/>
      <selection pane="topRight"/>
      <selection pane="bottomLeft"/>
      <selection pane="bottomRight" activeCell="H116" sqref="H116"/>
    </sheetView>
  </sheetViews>
  <sheetFormatPr defaultRowHeight="14.4" x14ac:dyDescent="0.3"/>
  <cols>
    <col min="1" max="1" width="10" customWidth="1"/>
    <col min="2" max="2" width="18" customWidth="1"/>
    <col min="3" max="3" width="32" customWidth="1"/>
    <col min="4" max="4" width="16" customWidth="1"/>
    <col min="5" max="5" width="14" customWidth="1"/>
    <col min="6" max="6" width="26" customWidth="1"/>
    <col min="7" max="11" width="22" customWidth="1"/>
  </cols>
  <sheetData>
    <row r="1" spans="1:11" ht="28.05" customHeight="1" x14ac:dyDescent="0.3">
      <c r="A1" s="17" t="s">
        <v>66</v>
      </c>
      <c r="B1" s="17" t="s">
        <v>12</v>
      </c>
      <c r="C1" s="17" t="s">
        <v>67</v>
      </c>
      <c r="D1" s="17" t="s">
        <v>68</v>
      </c>
      <c r="E1" s="17" t="s">
        <v>51</v>
      </c>
      <c r="F1" s="17" t="s">
        <v>69</v>
      </c>
      <c r="G1" s="17" t="s">
        <v>70</v>
      </c>
      <c r="H1" s="17" t="s">
        <v>71</v>
      </c>
      <c r="I1" s="17" t="s">
        <v>72</v>
      </c>
      <c r="J1" s="17" t="s">
        <v>73</v>
      </c>
      <c r="K1" s="17" t="s">
        <v>74</v>
      </c>
    </row>
    <row r="2" spans="1:11" x14ac:dyDescent="0.3">
      <c r="A2" s="18">
        <v>1</v>
      </c>
      <c r="B2" s="18" t="s">
        <v>24</v>
      </c>
      <c r="C2" s="18" t="s">
        <v>75</v>
      </c>
      <c r="D2" s="18" t="s">
        <v>76</v>
      </c>
      <c r="E2" s="19" t="s">
        <v>54</v>
      </c>
      <c r="F2" s="20" t="s">
        <v>3</v>
      </c>
      <c r="G2" s="18" t="s">
        <v>62</v>
      </c>
      <c r="H2" s="21" t="s">
        <v>77</v>
      </c>
      <c r="I2" s="18" t="s">
        <v>62</v>
      </c>
      <c r="J2" s="22" t="s">
        <v>7</v>
      </c>
      <c r="K2" s="18"/>
    </row>
    <row r="3" spans="1:11" x14ac:dyDescent="0.3">
      <c r="A3" s="18">
        <v>2</v>
      </c>
      <c r="B3" s="18" t="s">
        <v>24</v>
      </c>
      <c r="C3" s="18" t="s">
        <v>78</v>
      </c>
      <c r="D3" s="18" t="s">
        <v>79</v>
      </c>
      <c r="E3" s="19" t="s">
        <v>54</v>
      </c>
      <c r="F3" s="20" t="s">
        <v>3</v>
      </c>
      <c r="G3" s="18" t="s">
        <v>62</v>
      </c>
      <c r="H3" s="21" t="s">
        <v>77</v>
      </c>
      <c r="I3" s="18" t="s">
        <v>63</v>
      </c>
      <c r="J3" s="22" t="s">
        <v>7</v>
      </c>
      <c r="K3" s="18"/>
    </row>
    <row r="4" spans="1:11" x14ac:dyDescent="0.3">
      <c r="A4" s="18">
        <v>3</v>
      </c>
      <c r="B4" s="18" t="s">
        <v>24</v>
      </c>
      <c r="C4" s="18" t="s">
        <v>80</v>
      </c>
      <c r="D4" s="18" t="s">
        <v>79</v>
      </c>
      <c r="E4" s="19" t="s">
        <v>54</v>
      </c>
      <c r="F4" s="20" t="s">
        <v>3</v>
      </c>
      <c r="G4" s="18" t="s">
        <v>62</v>
      </c>
      <c r="H4" s="21" t="s">
        <v>77</v>
      </c>
      <c r="I4" s="18" t="s">
        <v>63</v>
      </c>
      <c r="J4" s="22" t="s">
        <v>7</v>
      </c>
      <c r="K4" s="18"/>
    </row>
    <row r="5" spans="1:11" x14ac:dyDescent="0.3">
      <c r="A5" s="18">
        <v>4</v>
      </c>
      <c r="B5" s="18" t="s">
        <v>24</v>
      </c>
      <c r="C5" s="18" t="s">
        <v>81</v>
      </c>
      <c r="D5" s="18" t="s">
        <v>79</v>
      </c>
      <c r="E5" s="19" t="s">
        <v>54</v>
      </c>
      <c r="F5" s="20" t="s">
        <v>3</v>
      </c>
      <c r="G5" s="18" t="s">
        <v>62</v>
      </c>
      <c r="H5" s="21" t="s">
        <v>77</v>
      </c>
      <c r="I5" s="18" t="s">
        <v>63</v>
      </c>
      <c r="J5" s="22" t="s">
        <v>7</v>
      </c>
      <c r="K5" s="18"/>
    </row>
    <row r="6" spans="1:11" x14ac:dyDescent="0.3">
      <c r="A6" s="18">
        <v>5</v>
      </c>
      <c r="B6" s="18" t="s">
        <v>24</v>
      </c>
      <c r="C6" s="18" t="s">
        <v>82</v>
      </c>
      <c r="D6" s="18" t="s">
        <v>76</v>
      </c>
      <c r="E6" s="19" t="s">
        <v>54</v>
      </c>
      <c r="F6" s="23" t="s">
        <v>14</v>
      </c>
      <c r="G6" s="18"/>
      <c r="H6" s="22" t="s">
        <v>7</v>
      </c>
      <c r="I6" s="18"/>
      <c r="J6" s="22" t="s">
        <v>7</v>
      </c>
      <c r="K6" s="18"/>
    </row>
    <row r="7" spans="1:11" x14ac:dyDescent="0.3">
      <c r="A7" s="18">
        <v>6</v>
      </c>
      <c r="B7" s="18" t="s">
        <v>24</v>
      </c>
      <c r="C7" s="18" t="s">
        <v>83</v>
      </c>
      <c r="D7" s="18" t="s">
        <v>76</v>
      </c>
      <c r="E7" s="19" t="s">
        <v>54</v>
      </c>
      <c r="F7" s="20" t="s">
        <v>3</v>
      </c>
      <c r="G7" s="18" t="s">
        <v>62</v>
      </c>
      <c r="H7" s="21" t="s">
        <v>77</v>
      </c>
      <c r="I7" s="18" t="s">
        <v>62</v>
      </c>
      <c r="J7" s="22" t="s">
        <v>7</v>
      </c>
      <c r="K7" s="18"/>
    </row>
    <row r="8" spans="1:11" x14ac:dyDescent="0.3">
      <c r="A8" s="18">
        <v>7</v>
      </c>
      <c r="B8" s="18" t="s">
        <v>24</v>
      </c>
      <c r="C8" s="18" t="s">
        <v>84</v>
      </c>
      <c r="D8" s="18" t="s">
        <v>76</v>
      </c>
      <c r="E8" s="19" t="s">
        <v>54</v>
      </c>
      <c r="F8" s="20" t="s">
        <v>3</v>
      </c>
      <c r="G8" s="18" t="s">
        <v>62</v>
      </c>
      <c r="H8" s="21" t="s">
        <v>77</v>
      </c>
      <c r="I8" s="18" t="s">
        <v>63</v>
      </c>
      <c r="J8" s="22" t="s">
        <v>7</v>
      </c>
      <c r="K8" s="18"/>
    </row>
    <row r="9" spans="1:11" x14ac:dyDescent="0.3">
      <c r="A9" s="18">
        <v>8</v>
      </c>
      <c r="B9" s="18" t="s">
        <v>24</v>
      </c>
      <c r="C9" s="18" t="s">
        <v>85</v>
      </c>
      <c r="D9" s="18" t="s">
        <v>76</v>
      </c>
      <c r="E9" s="19" t="s">
        <v>54</v>
      </c>
      <c r="F9" s="20" t="s">
        <v>3</v>
      </c>
      <c r="G9" s="18" t="s">
        <v>62</v>
      </c>
      <c r="H9" s="21" t="s">
        <v>77</v>
      </c>
      <c r="I9" s="18" t="s">
        <v>62</v>
      </c>
      <c r="J9" s="22" t="s">
        <v>7</v>
      </c>
      <c r="K9" s="18"/>
    </row>
    <row r="10" spans="1:11" x14ac:dyDescent="0.3">
      <c r="A10" s="18">
        <v>9</v>
      </c>
      <c r="B10" s="18" t="s">
        <v>24</v>
      </c>
      <c r="C10" s="18" t="s">
        <v>86</v>
      </c>
      <c r="D10" s="18" t="s">
        <v>76</v>
      </c>
      <c r="E10" s="19" t="s">
        <v>54</v>
      </c>
      <c r="F10" s="23" t="s">
        <v>14</v>
      </c>
      <c r="G10" s="18"/>
      <c r="H10" s="22" t="s">
        <v>7</v>
      </c>
      <c r="I10" s="18"/>
      <c r="J10" s="22" t="s">
        <v>7</v>
      </c>
      <c r="K10" s="18"/>
    </row>
    <row r="11" spans="1:11" x14ac:dyDescent="0.3">
      <c r="A11" s="18">
        <v>10</v>
      </c>
      <c r="B11" s="18" t="s">
        <v>24</v>
      </c>
      <c r="C11" s="18" t="s">
        <v>87</v>
      </c>
      <c r="D11" s="18" t="s">
        <v>76</v>
      </c>
      <c r="E11" s="19" t="s">
        <v>54</v>
      </c>
      <c r="F11" s="22" t="s">
        <v>7</v>
      </c>
      <c r="G11" s="18"/>
      <c r="H11" s="22" t="s">
        <v>7</v>
      </c>
      <c r="I11" s="18"/>
      <c r="J11" s="22" t="s">
        <v>7</v>
      </c>
      <c r="K11" s="18"/>
    </row>
    <row r="12" spans="1:11" x14ac:dyDescent="0.3">
      <c r="A12" s="18">
        <v>11</v>
      </c>
      <c r="B12" s="18" t="s">
        <v>24</v>
      </c>
      <c r="C12" s="18" t="s">
        <v>88</v>
      </c>
      <c r="D12" s="18" t="s">
        <v>76</v>
      </c>
      <c r="E12" s="24" t="s">
        <v>53</v>
      </c>
      <c r="F12" s="20" t="s">
        <v>3</v>
      </c>
      <c r="G12" s="18" t="s">
        <v>62</v>
      </c>
      <c r="H12" s="21" t="s">
        <v>77</v>
      </c>
      <c r="I12" s="18" t="s">
        <v>62</v>
      </c>
      <c r="J12" s="22" t="s">
        <v>7</v>
      </c>
      <c r="K12" s="18"/>
    </row>
    <row r="13" spans="1:11" x14ac:dyDescent="0.3">
      <c r="A13" s="18">
        <v>12</v>
      </c>
      <c r="B13" s="18" t="s">
        <v>24</v>
      </c>
      <c r="C13" s="18" t="s">
        <v>89</v>
      </c>
      <c r="D13" s="18" t="s">
        <v>76</v>
      </c>
      <c r="E13" s="24" t="s">
        <v>53</v>
      </c>
      <c r="F13" s="20" t="s">
        <v>3</v>
      </c>
      <c r="G13" s="18" t="s">
        <v>62</v>
      </c>
      <c r="H13" s="21" t="s">
        <v>77</v>
      </c>
      <c r="I13" s="18" t="s">
        <v>64</v>
      </c>
      <c r="J13" s="22" t="s">
        <v>7</v>
      </c>
      <c r="K13" s="18"/>
    </row>
    <row r="14" spans="1:11" x14ac:dyDescent="0.3">
      <c r="A14" s="18">
        <v>13</v>
      </c>
      <c r="B14" s="18" t="s">
        <v>24</v>
      </c>
      <c r="C14" s="18" t="s">
        <v>90</v>
      </c>
      <c r="D14" s="18" t="s">
        <v>76</v>
      </c>
      <c r="E14" s="19" t="s">
        <v>54</v>
      </c>
      <c r="F14" s="20" t="s">
        <v>3</v>
      </c>
      <c r="G14" s="18" t="s">
        <v>62</v>
      </c>
      <c r="H14" s="21" t="s">
        <v>77</v>
      </c>
      <c r="I14" s="18" t="s">
        <v>62</v>
      </c>
      <c r="J14" s="22" t="s">
        <v>7</v>
      </c>
      <c r="K14" s="18"/>
    </row>
    <row r="15" spans="1:11" x14ac:dyDescent="0.3">
      <c r="A15" s="18">
        <v>14</v>
      </c>
      <c r="B15" s="18" t="s">
        <v>24</v>
      </c>
      <c r="C15" s="18" t="s">
        <v>91</v>
      </c>
      <c r="D15" s="18" t="s">
        <v>76</v>
      </c>
      <c r="E15" s="19" t="s">
        <v>54</v>
      </c>
      <c r="F15" s="20" t="s">
        <v>3</v>
      </c>
      <c r="G15" s="18" t="s">
        <v>62</v>
      </c>
      <c r="H15" s="21" t="s">
        <v>77</v>
      </c>
      <c r="I15" s="18" t="s">
        <v>62</v>
      </c>
      <c r="J15" s="22" t="s">
        <v>7</v>
      </c>
      <c r="K15" s="18"/>
    </row>
    <row r="16" spans="1:11" x14ac:dyDescent="0.3">
      <c r="A16" s="18">
        <v>15</v>
      </c>
      <c r="B16" s="18" t="s">
        <v>24</v>
      </c>
      <c r="C16" s="18" t="s">
        <v>92</v>
      </c>
      <c r="D16" s="18" t="s">
        <v>76</v>
      </c>
      <c r="E16" s="19" t="s">
        <v>54</v>
      </c>
      <c r="F16" s="22" t="s">
        <v>7</v>
      </c>
      <c r="G16" s="18"/>
      <c r="H16" s="22" t="s">
        <v>7</v>
      </c>
      <c r="I16" s="18"/>
      <c r="J16" s="22" t="s">
        <v>7</v>
      </c>
      <c r="K16" s="18"/>
    </row>
    <row r="17" spans="1:11" x14ac:dyDescent="0.3">
      <c r="A17" s="18">
        <v>16</v>
      </c>
      <c r="B17" s="18" t="s">
        <v>24</v>
      </c>
      <c r="C17" s="18" t="s">
        <v>93</v>
      </c>
      <c r="D17" s="18" t="s">
        <v>76</v>
      </c>
      <c r="E17" s="19" t="s">
        <v>54</v>
      </c>
      <c r="F17" s="22" t="s">
        <v>7</v>
      </c>
      <c r="G17" s="18"/>
      <c r="H17" s="22" t="s">
        <v>7</v>
      </c>
      <c r="I17" s="18"/>
      <c r="J17" s="22" t="s">
        <v>7</v>
      </c>
      <c r="K17" s="18"/>
    </row>
    <row r="18" spans="1:11" x14ac:dyDescent="0.3">
      <c r="A18" s="18">
        <v>17</v>
      </c>
      <c r="B18" s="18" t="s">
        <v>24</v>
      </c>
      <c r="C18" s="18" t="s">
        <v>94</v>
      </c>
      <c r="D18" s="18" t="s">
        <v>95</v>
      </c>
      <c r="E18" s="25" t="s">
        <v>55</v>
      </c>
      <c r="F18" s="26" t="s">
        <v>15</v>
      </c>
      <c r="G18" s="18"/>
      <c r="H18" s="26" t="s">
        <v>96</v>
      </c>
      <c r="I18" s="18"/>
      <c r="J18" s="26" t="s">
        <v>96</v>
      </c>
      <c r="K18" s="18"/>
    </row>
    <row r="19" spans="1:11" x14ac:dyDescent="0.3">
      <c r="A19" s="18">
        <v>18</v>
      </c>
      <c r="B19" s="18" t="s">
        <v>22</v>
      </c>
      <c r="C19" s="18" t="s">
        <v>97</v>
      </c>
      <c r="D19" s="18" t="s">
        <v>76</v>
      </c>
      <c r="E19" s="19" t="s">
        <v>54</v>
      </c>
      <c r="F19" s="20" t="s">
        <v>3</v>
      </c>
      <c r="G19" s="18" t="s">
        <v>62</v>
      </c>
      <c r="H19" s="21" t="s">
        <v>77</v>
      </c>
      <c r="I19" s="18" t="s">
        <v>64</v>
      </c>
      <c r="J19" s="22" t="s">
        <v>7</v>
      </c>
      <c r="K19" s="18"/>
    </row>
    <row r="20" spans="1:11" x14ac:dyDescent="0.3">
      <c r="A20" s="18">
        <v>19</v>
      </c>
      <c r="B20" s="18" t="s">
        <v>22</v>
      </c>
      <c r="C20" s="18" t="s">
        <v>98</v>
      </c>
      <c r="D20" s="18" t="s">
        <v>79</v>
      </c>
      <c r="E20" s="19" t="s">
        <v>54</v>
      </c>
      <c r="F20" s="19" t="s">
        <v>13</v>
      </c>
      <c r="G20" s="18" t="s">
        <v>62</v>
      </c>
      <c r="H20" s="24" t="s">
        <v>99</v>
      </c>
      <c r="I20" s="18" t="s">
        <v>63</v>
      </c>
      <c r="J20" s="22" t="s">
        <v>7</v>
      </c>
      <c r="K20" s="18"/>
    </row>
    <row r="21" spans="1:11" x14ac:dyDescent="0.3">
      <c r="A21" s="18">
        <v>20</v>
      </c>
      <c r="B21" s="18" t="s">
        <v>22</v>
      </c>
      <c r="C21" s="18" t="s">
        <v>100</v>
      </c>
      <c r="D21" s="18" t="s">
        <v>76</v>
      </c>
      <c r="E21" s="19" t="s">
        <v>54</v>
      </c>
      <c r="F21" s="20" t="s">
        <v>3</v>
      </c>
      <c r="G21" s="18" t="s">
        <v>62</v>
      </c>
      <c r="H21" s="21" t="s">
        <v>77</v>
      </c>
      <c r="I21" s="18" t="s">
        <v>63</v>
      </c>
      <c r="J21" s="22" t="s">
        <v>7</v>
      </c>
      <c r="K21" s="18"/>
    </row>
    <row r="22" spans="1:11" x14ac:dyDescent="0.3">
      <c r="A22" s="18">
        <v>21</v>
      </c>
      <c r="B22" s="18" t="s">
        <v>22</v>
      </c>
      <c r="C22" s="18" t="s">
        <v>101</v>
      </c>
      <c r="D22" s="18" t="s">
        <v>76</v>
      </c>
      <c r="E22" s="19" t="s">
        <v>54</v>
      </c>
      <c r="F22" s="20" t="s">
        <v>3</v>
      </c>
      <c r="G22" s="18" t="s">
        <v>62</v>
      </c>
      <c r="H22" s="21" t="s">
        <v>77</v>
      </c>
      <c r="I22" s="18" t="s">
        <v>62</v>
      </c>
      <c r="J22" s="22" t="s">
        <v>7</v>
      </c>
      <c r="K22" s="18"/>
    </row>
    <row r="23" spans="1:11" x14ac:dyDescent="0.3">
      <c r="A23" s="18">
        <v>22</v>
      </c>
      <c r="B23" s="18" t="s">
        <v>22</v>
      </c>
      <c r="C23" s="18" t="s">
        <v>102</v>
      </c>
      <c r="D23" s="18" t="s">
        <v>79</v>
      </c>
      <c r="E23" s="24" t="s">
        <v>53</v>
      </c>
      <c r="F23" s="20" t="s">
        <v>3</v>
      </c>
      <c r="G23" s="18" t="s">
        <v>62</v>
      </c>
      <c r="H23" s="21" t="s">
        <v>77</v>
      </c>
      <c r="I23" s="18" t="s">
        <v>63</v>
      </c>
      <c r="J23" s="22" t="s">
        <v>7</v>
      </c>
      <c r="K23" s="18"/>
    </row>
    <row r="24" spans="1:11" x14ac:dyDescent="0.3">
      <c r="A24" s="18">
        <v>23</v>
      </c>
      <c r="B24" s="18" t="s">
        <v>22</v>
      </c>
      <c r="C24" s="18" t="s">
        <v>103</v>
      </c>
      <c r="D24" s="18" t="s">
        <v>76</v>
      </c>
      <c r="E24" s="19" t="s">
        <v>54</v>
      </c>
      <c r="F24" s="23" t="s">
        <v>14</v>
      </c>
      <c r="G24" s="18" t="s">
        <v>64</v>
      </c>
      <c r="H24" s="22" t="s">
        <v>7</v>
      </c>
      <c r="I24" s="18" t="s">
        <v>64</v>
      </c>
      <c r="J24" s="22" t="s">
        <v>7</v>
      </c>
      <c r="K24" s="18"/>
    </row>
    <row r="25" spans="1:11" x14ac:dyDescent="0.3">
      <c r="A25" s="18">
        <v>24</v>
      </c>
      <c r="B25" s="18" t="s">
        <v>21</v>
      </c>
      <c r="C25" s="18" t="s">
        <v>104</v>
      </c>
      <c r="D25" s="18" t="s">
        <v>76</v>
      </c>
      <c r="E25" s="19" t="s">
        <v>54</v>
      </c>
      <c r="F25" s="20" t="s">
        <v>3</v>
      </c>
      <c r="G25" s="18" t="s">
        <v>62</v>
      </c>
      <c r="H25" s="21" t="s">
        <v>77</v>
      </c>
      <c r="I25" s="18" t="s">
        <v>63</v>
      </c>
      <c r="J25" s="22" t="s">
        <v>7</v>
      </c>
      <c r="K25" s="18"/>
    </row>
    <row r="26" spans="1:11" x14ac:dyDescent="0.3">
      <c r="A26" s="18">
        <v>25</v>
      </c>
      <c r="B26" s="18" t="s">
        <v>21</v>
      </c>
      <c r="C26" s="18" t="s">
        <v>105</v>
      </c>
      <c r="D26" s="18" t="s">
        <v>76</v>
      </c>
      <c r="E26" s="19" t="s">
        <v>54</v>
      </c>
      <c r="F26" s="27" t="s">
        <v>6</v>
      </c>
      <c r="G26" s="18"/>
      <c r="H26" s="22" t="s">
        <v>7</v>
      </c>
      <c r="I26" s="18"/>
      <c r="J26" s="22" t="s">
        <v>7</v>
      </c>
      <c r="K26" s="18"/>
    </row>
    <row r="27" spans="1:11" x14ac:dyDescent="0.3">
      <c r="A27" s="18">
        <v>26</v>
      </c>
      <c r="B27" s="18" t="s">
        <v>21</v>
      </c>
      <c r="C27" s="18" t="s">
        <v>106</v>
      </c>
      <c r="D27" s="18" t="s">
        <v>79</v>
      </c>
      <c r="E27" s="19" t="s">
        <v>54</v>
      </c>
      <c r="F27" s="20" t="s">
        <v>3</v>
      </c>
      <c r="G27" s="18" t="s">
        <v>62</v>
      </c>
      <c r="H27" s="21" t="s">
        <v>77</v>
      </c>
      <c r="I27" s="18" t="s">
        <v>63</v>
      </c>
      <c r="J27" s="22" t="s">
        <v>7</v>
      </c>
      <c r="K27" s="18"/>
    </row>
    <row r="28" spans="1:11" x14ac:dyDescent="0.3">
      <c r="A28" s="18">
        <v>27</v>
      </c>
      <c r="B28" s="18" t="s">
        <v>21</v>
      </c>
      <c r="C28" s="18" t="s">
        <v>107</v>
      </c>
      <c r="D28" s="18" t="s">
        <v>76</v>
      </c>
      <c r="E28" s="19" t="s">
        <v>54</v>
      </c>
      <c r="F28" s="20" t="s">
        <v>3</v>
      </c>
      <c r="G28" s="18" t="s">
        <v>62</v>
      </c>
      <c r="H28" s="21" t="s">
        <v>77</v>
      </c>
      <c r="I28" s="18" t="s">
        <v>63</v>
      </c>
      <c r="J28" s="22" t="s">
        <v>7</v>
      </c>
      <c r="K28" s="18"/>
    </row>
    <row r="29" spans="1:11" x14ac:dyDescent="0.3">
      <c r="A29" s="18">
        <v>28</v>
      </c>
      <c r="B29" s="18" t="s">
        <v>21</v>
      </c>
      <c r="C29" s="18" t="s">
        <v>108</v>
      </c>
      <c r="D29" s="18" t="s">
        <v>76</v>
      </c>
      <c r="E29" s="19" t="s">
        <v>54</v>
      </c>
      <c r="F29" s="20" t="s">
        <v>3</v>
      </c>
      <c r="G29" s="18" t="s">
        <v>62</v>
      </c>
      <c r="H29" s="21" t="s">
        <v>77</v>
      </c>
      <c r="I29" s="18" t="s">
        <v>62</v>
      </c>
      <c r="J29" s="22" t="s">
        <v>7</v>
      </c>
      <c r="K29" s="18"/>
    </row>
    <row r="30" spans="1:11" x14ac:dyDescent="0.3">
      <c r="A30" s="18">
        <v>29</v>
      </c>
      <c r="B30" s="18" t="s">
        <v>21</v>
      </c>
      <c r="C30" s="18" t="s">
        <v>109</v>
      </c>
      <c r="D30" s="18" t="s">
        <v>76</v>
      </c>
      <c r="E30" s="24" t="s">
        <v>53</v>
      </c>
      <c r="F30" s="20" t="s">
        <v>3</v>
      </c>
      <c r="G30" s="18" t="s">
        <v>62</v>
      </c>
      <c r="H30" s="21" t="s">
        <v>77</v>
      </c>
      <c r="I30" s="18" t="s">
        <v>63</v>
      </c>
      <c r="J30" s="22" t="s">
        <v>7</v>
      </c>
      <c r="K30" s="18"/>
    </row>
    <row r="31" spans="1:11" x14ac:dyDescent="0.3">
      <c r="A31" s="18">
        <v>30</v>
      </c>
      <c r="B31" s="18" t="s">
        <v>21</v>
      </c>
      <c r="C31" s="18" t="s">
        <v>110</v>
      </c>
      <c r="D31" s="18" t="s">
        <v>76</v>
      </c>
      <c r="E31" s="19" t="s">
        <v>54</v>
      </c>
      <c r="F31" s="20" t="s">
        <v>3</v>
      </c>
      <c r="G31" s="18" t="s">
        <v>62</v>
      </c>
      <c r="H31" s="21" t="s">
        <v>77</v>
      </c>
      <c r="I31" s="18" t="s">
        <v>63</v>
      </c>
      <c r="J31" s="22" t="s">
        <v>7</v>
      </c>
      <c r="K31" s="18"/>
    </row>
    <row r="32" spans="1:11" x14ac:dyDescent="0.3">
      <c r="A32" s="18">
        <v>31</v>
      </c>
      <c r="B32" s="18" t="s">
        <v>21</v>
      </c>
      <c r="C32" s="18" t="s">
        <v>111</v>
      </c>
      <c r="D32" s="18" t="s">
        <v>76</v>
      </c>
      <c r="E32" s="24" t="s">
        <v>53</v>
      </c>
      <c r="F32" s="20" t="s">
        <v>3</v>
      </c>
      <c r="G32" s="18" t="s">
        <v>62</v>
      </c>
      <c r="H32" s="21" t="s">
        <v>77</v>
      </c>
      <c r="I32" s="18" t="s">
        <v>62</v>
      </c>
      <c r="J32" s="22" t="s">
        <v>7</v>
      </c>
      <c r="K32" s="18"/>
    </row>
    <row r="33" spans="1:11" x14ac:dyDescent="0.3">
      <c r="A33" s="18">
        <v>32</v>
      </c>
      <c r="B33" s="18" t="s">
        <v>21</v>
      </c>
      <c r="C33" s="18" t="s">
        <v>112</v>
      </c>
      <c r="D33" s="18" t="s">
        <v>76</v>
      </c>
      <c r="E33" s="19" t="s">
        <v>54</v>
      </c>
      <c r="F33" s="27" t="s">
        <v>6</v>
      </c>
      <c r="G33" s="18" t="s">
        <v>64</v>
      </c>
      <c r="H33" s="22" t="s">
        <v>7</v>
      </c>
      <c r="I33" s="18" t="s">
        <v>64</v>
      </c>
      <c r="J33" s="22" t="s">
        <v>7</v>
      </c>
      <c r="K33" s="18"/>
    </row>
    <row r="34" spans="1:11" x14ac:dyDescent="0.3">
      <c r="A34" s="18">
        <v>33</v>
      </c>
      <c r="B34" s="18" t="s">
        <v>21</v>
      </c>
      <c r="C34" s="18" t="s">
        <v>113</v>
      </c>
      <c r="D34" s="18" t="s">
        <v>76</v>
      </c>
      <c r="E34" s="19" t="s">
        <v>54</v>
      </c>
      <c r="F34" s="23" t="s">
        <v>14</v>
      </c>
      <c r="G34" s="18" t="s">
        <v>64</v>
      </c>
      <c r="H34" s="22" t="s">
        <v>7</v>
      </c>
      <c r="I34" s="18" t="s">
        <v>64</v>
      </c>
      <c r="J34" s="22" t="s">
        <v>7</v>
      </c>
      <c r="K34" s="18"/>
    </row>
    <row r="35" spans="1:11" x14ac:dyDescent="0.3">
      <c r="A35" s="18">
        <v>34</v>
      </c>
      <c r="B35" s="18" t="s">
        <v>21</v>
      </c>
      <c r="C35" s="18" t="s">
        <v>114</v>
      </c>
      <c r="D35" s="18" t="s">
        <v>115</v>
      </c>
      <c r="E35" s="24" t="s">
        <v>53</v>
      </c>
      <c r="F35" s="23" t="s">
        <v>14</v>
      </c>
      <c r="G35" s="18" t="s">
        <v>64</v>
      </c>
      <c r="H35" s="22" t="s">
        <v>7</v>
      </c>
      <c r="I35" s="18" t="s">
        <v>64</v>
      </c>
      <c r="J35" s="22" t="s">
        <v>7</v>
      </c>
      <c r="K35" s="18"/>
    </row>
    <row r="36" spans="1:11" x14ac:dyDescent="0.3">
      <c r="A36" s="18">
        <v>35</v>
      </c>
      <c r="B36" s="18" t="s">
        <v>21</v>
      </c>
      <c r="C36" s="18" t="s">
        <v>116</v>
      </c>
      <c r="D36" s="18" t="s">
        <v>76</v>
      </c>
      <c r="E36" s="19" t="s">
        <v>54</v>
      </c>
      <c r="F36" s="20" t="s">
        <v>3</v>
      </c>
      <c r="G36" s="18" t="s">
        <v>62</v>
      </c>
      <c r="H36" s="21" t="s">
        <v>77</v>
      </c>
      <c r="I36" s="18" t="s">
        <v>64</v>
      </c>
      <c r="J36" s="22" t="s">
        <v>7</v>
      </c>
      <c r="K36" s="18"/>
    </row>
    <row r="37" spans="1:11" x14ac:dyDescent="0.3">
      <c r="A37" s="18">
        <v>36</v>
      </c>
      <c r="B37" s="18" t="s">
        <v>21</v>
      </c>
      <c r="C37" s="18" t="s">
        <v>117</v>
      </c>
      <c r="D37" s="18" t="s">
        <v>76</v>
      </c>
      <c r="E37" s="24" t="s">
        <v>53</v>
      </c>
      <c r="F37" s="20" t="s">
        <v>3</v>
      </c>
      <c r="G37" s="18" t="s">
        <v>62</v>
      </c>
      <c r="H37" s="21" t="s">
        <v>77</v>
      </c>
      <c r="I37" s="18" t="s">
        <v>64</v>
      </c>
      <c r="J37" s="22" t="s">
        <v>7</v>
      </c>
      <c r="K37" s="18"/>
    </row>
    <row r="38" spans="1:11" x14ac:dyDescent="0.3">
      <c r="A38" s="18">
        <v>37</v>
      </c>
      <c r="B38" s="18" t="s">
        <v>21</v>
      </c>
      <c r="C38" s="18" t="s">
        <v>118</v>
      </c>
      <c r="D38" s="18" t="s">
        <v>76</v>
      </c>
      <c r="E38" s="25" t="s">
        <v>55</v>
      </c>
      <c r="F38" s="23" t="s">
        <v>14</v>
      </c>
      <c r="G38" s="18"/>
      <c r="H38" s="22" t="s">
        <v>7</v>
      </c>
      <c r="I38" s="18"/>
      <c r="J38" s="22" t="s">
        <v>7</v>
      </c>
      <c r="K38" s="18"/>
    </row>
    <row r="39" spans="1:11" x14ac:dyDescent="0.3">
      <c r="A39" s="18">
        <v>38</v>
      </c>
      <c r="B39" s="18" t="s">
        <v>21</v>
      </c>
      <c r="C39" s="18" t="s">
        <v>119</v>
      </c>
      <c r="D39" s="18" t="s">
        <v>95</v>
      </c>
      <c r="E39" s="25" t="s">
        <v>55</v>
      </c>
      <c r="F39" s="26" t="s">
        <v>15</v>
      </c>
      <c r="G39" s="18"/>
      <c r="H39" s="26" t="s">
        <v>96</v>
      </c>
      <c r="I39" s="18"/>
      <c r="J39" s="26" t="s">
        <v>96</v>
      </c>
      <c r="K39" s="18"/>
    </row>
    <row r="40" spans="1:11" x14ac:dyDescent="0.3">
      <c r="A40" s="18">
        <v>39</v>
      </c>
      <c r="B40" s="18" t="s">
        <v>28</v>
      </c>
      <c r="C40" s="18" t="s">
        <v>120</v>
      </c>
      <c r="D40" s="18" t="s">
        <v>76</v>
      </c>
      <c r="E40" s="19" t="s">
        <v>54</v>
      </c>
      <c r="F40" s="20" t="s">
        <v>3</v>
      </c>
      <c r="G40" s="18" t="s">
        <v>62</v>
      </c>
      <c r="H40" s="21" t="s">
        <v>77</v>
      </c>
      <c r="I40" s="18" t="s">
        <v>64</v>
      </c>
      <c r="J40" s="22" t="s">
        <v>7</v>
      </c>
      <c r="K40" s="18"/>
    </row>
    <row r="41" spans="1:11" x14ac:dyDescent="0.3">
      <c r="A41" s="18">
        <v>40</v>
      </c>
      <c r="B41" s="18" t="s">
        <v>28</v>
      </c>
      <c r="C41" s="18" t="s">
        <v>121</v>
      </c>
      <c r="D41" s="18" t="s">
        <v>76</v>
      </c>
      <c r="E41" s="19" t="s">
        <v>54</v>
      </c>
      <c r="F41" s="20" t="s">
        <v>3</v>
      </c>
      <c r="G41" s="18" t="s">
        <v>62</v>
      </c>
      <c r="H41" s="21" t="s">
        <v>77</v>
      </c>
      <c r="I41" s="18" t="s">
        <v>64</v>
      </c>
      <c r="J41" s="22" t="s">
        <v>7</v>
      </c>
      <c r="K41" s="18"/>
    </row>
    <row r="42" spans="1:11" x14ac:dyDescent="0.3">
      <c r="A42" s="18">
        <v>41</v>
      </c>
      <c r="B42" s="18" t="s">
        <v>28</v>
      </c>
      <c r="C42" s="18" t="s">
        <v>122</v>
      </c>
      <c r="D42" s="18" t="s">
        <v>79</v>
      </c>
      <c r="E42" s="19" t="s">
        <v>54</v>
      </c>
      <c r="F42" s="20" t="s">
        <v>3</v>
      </c>
      <c r="G42" s="18" t="s">
        <v>62</v>
      </c>
      <c r="H42" s="21" t="s">
        <v>77</v>
      </c>
      <c r="I42" s="18" t="s">
        <v>64</v>
      </c>
      <c r="J42" s="22" t="s">
        <v>7</v>
      </c>
      <c r="K42" s="18"/>
    </row>
    <row r="43" spans="1:11" x14ac:dyDescent="0.3">
      <c r="A43" s="18">
        <v>42</v>
      </c>
      <c r="B43" s="18" t="s">
        <v>28</v>
      </c>
      <c r="C43" s="18" t="s">
        <v>123</v>
      </c>
      <c r="D43" s="18" t="s">
        <v>76</v>
      </c>
      <c r="E43" s="19" t="s">
        <v>54</v>
      </c>
      <c r="F43" s="27" t="s">
        <v>6</v>
      </c>
      <c r="G43" s="18"/>
      <c r="H43" s="22" t="s">
        <v>7</v>
      </c>
      <c r="I43" s="18"/>
      <c r="J43" s="22" t="s">
        <v>7</v>
      </c>
      <c r="K43" s="18"/>
    </row>
    <row r="44" spans="1:11" x14ac:dyDescent="0.3">
      <c r="A44" s="18">
        <v>43</v>
      </c>
      <c r="B44" s="18" t="s">
        <v>28</v>
      </c>
      <c r="C44" s="18" t="s">
        <v>124</v>
      </c>
      <c r="D44" s="18" t="s">
        <v>79</v>
      </c>
      <c r="E44" s="19" t="s">
        <v>54</v>
      </c>
      <c r="F44" s="20" t="s">
        <v>3</v>
      </c>
      <c r="G44" s="18" t="s">
        <v>62</v>
      </c>
      <c r="H44" s="21" t="s">
        <v>77</v>
      </c>
      <c r="I44" s="18" t="s">
        <v>63</v>
      </c>
      <c r="J44" s="22" t="s">
        <v>7</v>
      </c>
      <c r="K44" s="18"/>
    </row>
    <row r="45" spans="1:11" x14ac:dyDescent="0.3">
      <c r="A45" s="18">
        <v>44</v>
      </c>
      <c r="B45" s="18" t="s">
        <v>28</v>
      </c>
      <c r="C45" s="18" t="s">
        <v>125</v>
      </c>
      <c r="D45" s="18" t="s">
        <v>76</v>
      </c>
      <c r="E45" s="19" t="s">
        <v>54</v>
      </c>
      <c r="F45" s="20" t="s">
        <v>3</v>
      </c>
      <c r="G45" s="18" t="s">
        <v>62</v>
      </c>
      <c r="H45" s="21" t="s">
        <v>77</v>
      </c>
      <c r="I45" s="18" t="s">
        <v>64</v>
      </c>
      <c r="J45" s="22" t="s">
        <v>7</v>
      </c>
      <c r="K45" s="18"/>
    </row>
    <row r="46" spans="1:11" x14ac:dyDescent="0.3">
      <c r="A46" s="18">
        <v>45</v>
      </c>
      <c r="B46" s="18" t="s">
        <v>28</v>
      </c>
      <c r="C46" s="18" t="s">
        <v>126</v>
      </c>
      <c r="D46" s="18" t="s">
        <v>76</v>
      </c>
      <c r="E46" s="19" t="s">
        <v>54</v>
      </c>
      <c r="F46" s="22" t="s">
        <v>7</v>
      </c>
      <c r="G46" s="18"/>
      <c r="H46" s="22" t="s">
        <v>7</v>
      </c>
      <c r="I46" s="18"/>
      <c r="J46" s="22" t="s">
        <v>7</v>
      </c>
      <c r="K46" s="18"/>
    </row>
    <row r="47" spans="1:11" x14ac:dyDescent="0.3">
      <c r="A47" s="18">
        <v>46</v>
      </c>
      <c r="B47" s="18" t="s">
        <v>28</v>
      </c>
      <c r="C47" s="18" t="s">
        <v>127</v>
      </c>
      <c r="D47" s="18" t="s">
        <v>76</v>
      </c>
      <c r="E47" s="19" t="s">
        <v>54</v>
      </c>
      <c r="F47" s="20" t="s">
        <v>3</v>
      </c>
      <c r="G47" s="18" t="s">
        <v>62</v>
      </c>
      <c r="H47" s="21" t="s">
        <v>77</v>
      </c>
      <c r="I47" s="18" t="s">
        <v>62</v>
      </c>
      <c r="J47" s="22" t="s">
        <v>7</v>
      </c>
      <c r="K47" s="18"/>
    </row>
    <row r="48" spans="1:11" x14ac:dyDescent="0.3">
      <c r="A48" s="18">
        <v>47</v>
      </c>
      <c r="B48" s="18" t="s">
        <v>28</v>
      </c>
      <c r="C48" s="18" t="s">
        <v>128</v>
      </c>
      <c r="D48" s="18" t="s">
        <v>95</v>
      </c>
      <c r="E48" s="25" t="s">
        <v>55</v>
      </c>
      <c r="F48" s="26" t="s">
        <v>15</v>
      </c>
      <c r="G48" s="18"/>
      <c r="H48" s="26" t="s">
        <v>96</v>
      </c>
      <c r="I48" s="18"/>
      <c r="J48" s="26" t="s">
        <v>96</v>
      </c>
      <c r="K48" s="18"/>
    </row>
    <row r="49" spans="1:11" x14ac:dyDescent="0.3">
      <c r="A49" s="18">
        <v>48</v>
      </c>
      <c r="B49" s="18" t="s">
        <v>28</v>
      </c>
      <c r="C49" s="18" t="s">
        <v>129</v>
      </c>
      <c r="D49" s="18" t="s">
        <v>76</v>
      </c>
      <c r="E49" s="19" t="s">
        <v>54</v>
      </c>
      <c r="F49" s="20" t="s">
        <v>3</v>
      </c>
      <c r="G49" s="18" t="s">
        <v>62</v>
      </c>
      <c r="H49" s="21" t="s">
        <v>77</v>
      </c>
      <c r="I49" s="18" t="s">
        <v>62</v>
      </c>
      <c r="J49" s="22" t="s">
        <v>7</v>
      </c>
      <c r="K49" s="18"/>
    </row>
    <row r="50" spans="1:11" x14ac:dyDescent="0.3">
      <c r="A50" s="18">
        <v>49</v>
      </c>
      <c r="B50" s="18" t="s">
        <v>20</v>
      </c>
      <c r="C50" s="18" t="s">
        <v>130</v>
      </c>
      <c r="D50" s="18" t="s">
        <v>76</v>
      </c>
      <c r="E50" s="24" t="s">
        <v>53</v>
      </c>
      <c r="F50" s="20" t="s">
        <v>3</v>
      </c>
      <c r="G50" s="18" t="s">
        <v>62</v>
      </c>
      <c r="H50" s="21" t="s">
        <v>77</v>
      </c>
      <c r="I50" s="18" t="s">
        <v>63</v>
      </c>
      <c r="J50" s="22" t="s">
        <v>7</v>
      </c>
      <c r="K50" s="18"/>
    </row>
    <row r="51" spans="1:11" x14ac:dyDescent="0.3">
      <c r="A51" s="18">
        <v>50</v>
      </c>
      <c r="B51" s="18" t="s">
        <v>20</v>
      </c>
      <c r="C51" s="18" t="s">
        <v>131</v>
      </c>
      <c r="D51" s="18" t="s">
        <v>76</v>
      </c>
      <c r="E51" s="19" t="s">
        <v>54</v>
      </c>
      <c r="F51" s="20" t="s">
        <v>3</v>
      </c>
      <c r="G51" s="18" t="s">
        <v>62</v>
      </c>
      <c r="H51" s="21" t="s">
        <v>77</v>
      </c>
      <c r="I51" s="18" t="s">
        <v>62</v>
      </c>
      <c r="J51" s="22" t="s">
        <v>7</v>
      </c>
      <c r="K51" s="18"/>
    </row>
    <row r="52" spans="1:11" x14ac:dyDescent="0.3">
      <c r="A52" s="18">
        <v>51</v>
      </c>
      <c r="B52" s="18" t="s">
        <v>20</v>
      </c>
      <c r="C52" s="18" t="s">
        <v>132</v>
      </c>
      <c r="D52" s="18" t="s">
        <v>79</v>
      </c>
      <c r="E52" s="24" t="s">
        <v>53</v>
      </c>
      <c r="F52" s="20" t="s">
        <v>3</v>
      </c>
      <c r="G52" s="18" t="s">
        <v>62</v>
      </c>
      <c r="H52" s="21" t="s">
        <v>77</v>
      </c>
      <c r="I52" s="18" t="s">
        <v>62</v>
      </c>
      <c r="J52" s="22" t="s">
        <v>7</v>
      </c>
      <c r="K52" s="18"/>
    </row>
    <row r="53" spans="1:11" x14ac:dyDescent="0.3">
      <c r="A53" s="18">
        <v>52</v>
      </c>
      <c r="B53" s="18" t="s">
        <v>20</v>
      </c>
      <c r="C53" s="18" t="s">
        <v>133</v>
      </c>
      <c r="D53" s="18" t="s">
        <v>95</v>
      </c>
      <c r="E53" s="25" t="s">
        <v>55</v>
      </c>
      <c r="F53" s="26" t="s">
        <v>15</v>
      </c>
      <c r="G53" s="18"/>
      <c r="H53" s="26" t="s">
        <v>96</v>
      </c>
      <c r="I53" s="18"/>
      <c r="J53" s="26" t="s">
        <v>96</v>
      </c>
      <c r="K53" s="18"/>
    </row>
    <row r="54" spans="1:11" x14ac:dyDescent="0.3">
      <c r="A54" s="18">
        <v>53</v>
      </c>
      <c r="B54" s="18" t="s">
        <v>32</v>
      </c>
      <c r="C54" s="18" t="s">
        <v>32</v>
      </c>
      <c r="D54" s="18" t="s">
        <v>76</v>
      </c>
      <c r="E54" s="24" t="s">
        <v>53</v>
      </c>
      <c r="F54" s="20" t="s">
        <v>3</v>
      </c>
      <c r="G54" s="18" t="s">
        <v>62</v>
      </c>
      <c r="H54" s="21" t="s">
        <v>77</v>
      </c>
      <c r="I54" s="18" t="s">
        <v>64</v>
      </c>
      <c r="J54" s="22" t="s">
        <v>7</v>
      </c>
      <c r="K54" s="18"/>
    </row>
    <row r="55" spans="1:11" x14ac:dyDescent="0.3">
      <c r="A55" s="18">
        <v>54</v>
      </c>
      <c r="B55" s="18" t="s">
        <v>32</v>
      </c>
      <c r="C55" s="18" t="s">
        <v>134</v>
      </c>
      <c r="D55" s="18" t="s">
        <v>76</v>
      </c>
      <c r="E55" s="19" t="s">
        <v>54</v>
      </c>
      <c r="F55" s="20" t="s">
        <v>3</v>
      </c>
      <c r="G55" s="18" t="s">
        <v>62</v>
      </c>
      <c r="H55" s="21" t="s">
        <v>77</v>
      </c>
      <c r="I55" s="18" t="s">
        <v>64</v>
      </c>
      <c r="J55" s="22" t="s">
        <v>7</v>
      </c>
      <c r="K55" s="18"/>
    </row>
    <row r="56" spans="1:11" x14ac:dyDescent="0.3">
      <c r="A56" s="18">
        <v>55</v>
      </c>
      <c r="B56" s="18" t="s">
        <v>32</v>
      </c>
      <c r="C56" s="18" t="s">
        <v>135</v>
      </c>
      <c r="D56" s="18" t="s">
        <v>76</v>
      </c>
      <c r="E56" s="19" t="s">
        <v>54</v>
      </c>
      <c r="F56" s="20" t="s">
        <v>3</v>
      </c>
      <c r="G56" s="18" t="s">
        <v>62</v>
      </c>
      <c r="H56" s="21" t="s">
        <v>77</v>
      </c>
      <c r="I56" s="18" t="s">
        <v>64</v>
      </c>
      <c r="J56" s="22" t="s">
        <v>7</v>
      </c>
      <c r="K56" s="18"/>
    </row>
    <row r="57" spans="1:11" x14ac:dyDescent="0.3">
      <c r="A57" s="18">
        <v>56</v>
      </c>
      <c r="B57" s="18" t="s">
        <v>32</v>
      </c>
      <c r="C57" s="18" t="s">
        <v>136</v>
      </c>
      <c r="D57" s="18" t="s">
        <v>95</v>
      </c>
      <c r="E57" s="25" t="s">
        <v>55</v>
      </c>
      <c r="F57" s="26" t="s">
        <v>15</v>
      </c>
      <c r="G57" s="18"/>
      <c r="H57" s="26" t="s">
        <v>96</v>
      </c>
      <c r="I57" s="18"/>
      <c r="J57" s="26" t="s">
        <v>96</v>
      </c>
      <c r="K57" s="18"/>
    </row>
    <row r="58" spans="1:11" x14ac:dyDescent="0.3">
      <c r="A58" s="18">
        <v>57</v>
      </c>
      <c r="B58" s="18" t="s">
        <v>32</v>
      </c>
      <c r="C58" s="18" t="s">
        <v>137</v>
      </c>
      <c r="D58" s="18" t="s">
        <v>95</v>
      </c>
      <c r="E58" s="25" t="s">
        <v>55</v>
      </c>
      <c r="F58" s="26" t="s">
        <v>15</v>
      </c>
      <c r="G58" s="18"/>
      <c r="H58" s="26" t="s">
        <v>96</v>
      </c>
      <c r="I58" s="18"/>
      <c r="J58" s="26" t="s">
        <v>96</v>
      </c>
      <c r="K58" s="18"/>
    </row>
    <row r="59" spans="1:11" x14ac:dyDescent="0.3">
      <c r="A59" s="18">
        <v>58</v>
      </c>
      <c r="B59" s="18" t="s">
        <v>26</v>
      </c>
      <c r="C59" s="18" t="s">
        <v>138</v>
      </c>
      <c r="D59" s="18" t="s">
        <v>79</v>
      </c>
      <c r="E59" s="24" t="s">
        <v>53</v>
      </c>
      <c r="F59" s="20" t="s">
        <v>3</v>
      </c>
      <c r="G59" s="18" t="s">
        <v>62</v>
      </c>
      <c r="H59" s="21" t="s">
        <v>77</v>
      </c>
      <c r="I59" s="18" t="s">
        <v>63</v>
      </c>
      <c r="J59" s="22" t="s">
        <v>7</v>
      </c>
      <c r="K59" s="18"/>
    </row>
    <row r="60" spans="1:11" x14ac:dyDescent="0.3">
      <c r="A60" s="18">
        <v>59</v>
      </c>
      <c r="B60" s="18" t="s">
        <v>26</v>
      </c>
      <c r="C60" s="18" t="s">
        <v>139</v>
      </c>
      <c r="D60" s="18" t="s">
        <v>76</v>
      </c>
      <c r="E60" s="24" t="s">
        <v>53</v>
      </c>
      <c r="F60" s="20" t="s">
        <v>3</v>
      </c>
      <c r="G60" s="18" t="s">
        <v>62</v>
      </c>
      <c r="H60" s="21" t="s">
        <v>77</v>
      </c>
      <c r="I60" s="18" t="s">
        <v>63</v>
      </c>
      <c r="J60" s="22" t="s">
        <v>7</v>
      </c>
      <c r="K60" s="18"/>
    </row>
    <row r="61" spans="1:11" x14ac:dyDescent="0.3">
      <c r="A61" s="18">
        <v>60</v>
      </c>
      <c r="B61" s="18" t="s">
        <v>26</v>
      </c>
      <c r="C61" s="18" t="s">
        <v>140</v>
      </c>
      <c r="D61" s="18" t="s">
        <v>79</v>
      </c>
      <c r="E61" s="19" t="s">
        <v>54</v>
      </c>
      <c r="F61" s="20" t="s">
        <v>3</v>
      </c>
      <c r="G61" s="18" t="s">
        <v>62</v>
      </c>
      <c r="H61" s="21" t="s">
        <v>77</v>
      </c>
      <c r="I61" s="18" t="s">
        <v>63</v>
      </c>
      <c r="J61" s="22" t="s">
        <v>7</v>
      </c>
      <c r="K61" s="18"/>
    </row>
    <row r="62" spans="1:11" x14ac:dyDescent="0.3">
      <c r="A62" s="18">
        <v>61</v>
      </c>
      <c r="B62" s="18" t="s">
        <v>26</v>
      </c>
      <c r="C62" s="18" t="s">
        <v>141</v>
      </c>
      <c r="D62" s="18" t="s">
        <v>76</v>
      </c>
      <c r="E62" s="25" t="s">
        <v>55</v>
      </c>
      <c r="F62" s="26" t="s">
        <v>16</v>
      </c>
      <c r="G62" s="18"/>
      <c r="H62" s="26" t="s">
        <v>96</v>
      </c>
      <c r="I62" s="18"/>
      <c r="J62" s="26" t="s">
        <v>96</v>
      </c>
      <c r="K62" s="18"/>
    </row>
    <row r="63" spans="1:11" x14ac:dyDescent="0.3">
      <c r="A63" s="18">
        <v>62</v>
      </c>
      <c r="B63" s="18" t="s">
        <v>25</v>
      </c>
      <c r="C63" s="18" t="s">
        <v>142</v>
      </c>
      <c r="D63" s="18" t="s">
        <v>76</v>
      </c>
      <c r="E63" s="24" t="s">
        <v>53</v>
      </c>
      <c r="F63" s="20" t="s">
        <v>3</v>
      </c>
      <c r="G63" s="18" t="s">
        <v>62</v>
      </c>
      <c r="H63" s="21" t="s">
        <v>77</v>
      </c>
      <c r="I63" s="18" t="s">
        <v>62</v>
      </c>
      <c r="J63" s="22" t="s">
        <v>7</v>
      </c>
      <c r="K63" s="18"/>
    </row>
    <row r="64" spans="1:11" x14ac:dyDescent="0.3">
      <c r="A64" s="18">
        <v>63</v>
      </c>
      <c r="B64" s="18" t="s">
        <v>25</v>
      </c>
      <c r="C64" s="18" t="s">
        <v>143</v>
      </c>
      <c r="D64" s="18" t="s">
        <v>76</v>
      </c>
      <c r="E64" s="19" t="s">
        <v>54</v>
      </c>
      <c r="F64" s="20" t="s">
        <v>3</v>
      </c>
      <c r="G64" s="18" t="s">
        <v>62</v>
      </c>
      <c r="H64" s="21" t="s">
        <v>77</v>
      </c>
      <c r="I64" s="18" t="s">
        <v>62</v>
      </c>
      <c r="J64" s="22" t="s">
        <v>7</v>
      </c>
      <c r="K64" s="18"/>
    </row>
    <row r="65" spans="1:11" x14ac:dyDescent="0.3">
      <c r="A65" s="18">
        <v>64</v>
      </c>
      <c r="B65" s="18" t="s">
        <v>25</v>
      </c>
      <c r="C65" s="18" t="s">
        <v>144</v>
      </c>
      <c r="D65" s="18" t="s">
        <v>95</v>
      </c>
      <c r="E65" s="25" t="s">
        <v>55</v>
      </c>
      <c r="F65" s="26" t="s">
        <v>15</v>
      </c>
      <c r="G65" s="18"/>
      <c r="H65" s="26" t="s">
        <v>96</v>
      </c>
      <c r="I65" s="18"/>
      <c r="J65" s="26" t="s">
        <v>96</v>
      </c>
      <c r="K65" s="18"/>
    </row>
    <row r="66" spans="1:11" x14ac:dyDescent="0.3">
      <c r="A66" s="18">
        <v>65</v>
      </c>
      <c r="B66" s="18" t="s">
        <v>23</v>
      </c>
      <c r="C66" s="18" t="s">
        <v>23</v>
      </c>
      <c r="D66" s="18" t="s">
        <v>76</v>
      </c>
      <c r="E66" s="19" t="s">
        <v>54</v>
      </c>
      <c r="F66" s="20" t="s">
        <v>3</v>
      </c>
      <c r="G66" s="18" t="s">
        <v>62</v>
      </c>
      <c r="H66" s="21" t="s">
        <v>77</v>
      </c>
      <c r="I66" s="18" t="s">
        <v>64</v>
      </c>
      <c r="J66" s="22" t="s">
        <v>7</v>
      </c>
      <c r="K66" s="18"/>
    </row>
    <row r="67" spans="1:11" x14ac:dyDescent="0.3">
      <c r="A67" s="18">
        <v>66</v>
      </c>
      <c r="B67" s="18" t="s">
        <v>23</v>
      </c>
      <c r="C67" s="18" t="s">
        <v>145</v>
      </c>
      <c r="D67" s="18" t="s">
        <v>79</v>
      </c>
      <c r="E67" s="19" t="s">
        <v>54</v>
      </c>
      <c r="F67" s="20" t="s">
        <v>3</v>
      </c>
      <c r="G67" s="18" t="s">
        <v>62</v>
      </c>
      <c r="H67" s="21" t="s">
        <v>77</v>
      </c>
      <c r="I67" s="18" t="s">
        <v>64</v>
      </c>
      <c r="J67" s="22" t="s">
        <v>7</v>
      </c>
      <c r="K67" s="18"/>
    </row>
    <row r="68" spans="1:11" x14ac:dyDescent="0.3">
      <c r="A68" s="18">
        <v>67</v>
      </c>
      <c r="B68" s="18" t="s">
        <v>23</v>
      </c>
      <c r="C68" s="18" t="s">
        <v>146</v>
      </c>
      <c r="D68" s="18" t="s">
        <v>76</v>
      </c>
      <c r="E68" s="24" t="s">
        <v>53</v>
      </c>
      <c r="F68" s="20" t="s">
        <v>3</v>
      </c>
      <c r="G68" s="18" t="s">
        <v>62</v>
      </c>
      <c r="H68" s="21" t="s">
        <v>77</v>
      </c>
      <c r="I68" s="18" t="s">
        <v>64</v>
      </c>
      <c r="J68" s="22" t="s">
        <v>7</v>
      </c>
      <c r="K68" s="18"/>
    </row>
    <row r="69" spans="1:11" x14ac:dyDescent="0.3">
      <c r="A69" s="18">
        <v>68</v>
      </c>
      <c r="B69" s="18" t="s">
        <v>23</v>
      </c>
      <c r="C69" s="18" t="s">
        <v>147</v>
      </c>
      <c r="D69" s="18" t="s">
        <v>76</v>
      </c>
      <c r="E69" s="19" t="s">
        <v>54</v>
      </c>
      <c r="F69" s="23" t="s">
        <v>14</v>
      </c>
      <c r="G69" s="18"/>
      <c r="H69" s="22" t="s">
        <v>7</v>
      </c>
      <c r="I69" s="18"/>
      <c r="J69" s="22" t="s">
        <v>7</v>
      </c>
      <c r="K69" s="18"/>
    </row>
    <row r="70" spans="1:11" x14ac:dyDescent="0.3">
      <c r="A70" s="18">
        <v>69</v>
      </c>
      <c r="B70" s="18" t="s">
        <v>23</v>
      </c>
      <c r="C70" s="18" t="s">
        <v>148</v>
      </c>
      <c r="D70" s="18" t="s">
        <v>95</v>
      </c>
      <c r="E70" s="25" t="s">
        <v>55</v>
      </c>
      <c r="F70" s="26" t="s">
        <v>15</v>
      </c>
      <c r="G70" s="18"/>
      <c r="H70" s="26" t="s">
        <v>96</v>
      </c>
      <c r="I70" s="18"/>
      <c r="J70" s="26" t="s">
        <v>96</v>
      </c>
      <c r="K70" s="18"/>
    </row>
    <row r="71" spans="1:11" x14ac:dyDescent="0.3">
      <c r="A71" s="18">
        <v>70</v>
      </c>
      <c r="B71" s="18" t="s">
        <v>19</v>
      </c>
      <c r="C71" s="18" t="s">
        <v>149</v>
      </c>
      <c r="D71" s="18" t="s">
        <v>79</v>
      </c>
      <c r="E71" s="19" t="s">
        <v>54</v>
      </c>
      <c r="F71" s="23" t="s">
        <v>14</v>
      </c>
      <c r="G71" s="18"/>
      <c r="H71" s="22" t="s">
        <v>7</v>
      </c>
      <c r="I71" s="18"/>
      <c r="J71" s="22" t="s">
        <v>7</v>
      </c>
      <c r="K71" s="18"/>
    </row>
    <row r="72" spans="1:11" x14ac:dyDescent="0.3">
      <c r="A72" s="18">
        <v>71</v>
      </c>
      <c r="B72" s="18" t="s">
        <v>19</v>
      </c>
      <c r="C72" s="18" t="s">
        <v>150</v>
      </c>
      <c r="D72" s="18" t="s">
        <v>79</v>
      </c>
      <c r="E72" s="19" t="s">
        <v>54</v>
      </c>
      <c r="F72" s="23" t="s">
        <v>14</v>
      </c>
      <c r="G72" s="18"/>
      <c r="H72" s="22" t="s">
        <v>7</v>
      </c>
      <c r="I72" s="18"/>
      <c r="J72" s="22" t="s">
        <v>7</v>
      </c>
      <c r="K72" s="18"/>
    </row>
    <row r="73" spans="1:11" x14ac:dyDescent="0.3">
      <c r="A73" s="18">
        <v>72</v>
      </c>
      <c r="B73" s="18" t="s">
        <v>19</v>
      </c>
      <c r="C73" s="18" t="s">
        <v>151</v>
      </c>
      <c r="D73" s="18" t="s">
        <v>76</v>
      </c>
      <c r="E73" s="24" t="s">
        <v>53</v>
      </c>
      <c r="F73" s="23" t="s">
        <v>14</v>
      </c>
      <c r="G73" s="18"/>
      <c r="H73" s="22" t="s">
        <v>7</v>
      </c>
      <c r="I73" s="18"/>
      <c r="J73" s="22" t="s">
        <v>7</v>
      </c>
      <c r="K73" s="18"/>
    </row>
    <row r="74" spans="1:11" x14ac:dyDescent="0.3">
      <c r="A74" s="18">
        <v>73</v>
      </c>
      <c r="B74" s="18" t="s">
        <v>19</v>
      </c>
      <c r="C74" s="18" t="s">
        <v>152</v>
      </c>
      <c r="D74" s="18" t="s">
        <v>115</v>
      </c>
      <c r="E74" s="19" t="s">
        <v>54</v>
      </c>
      <c r="F74" s="23" t="s">
        <v>14</v>
      </c>
      <c r="G74" s="18"/>
      <c r="H74" s="22" t="s">
        <v>7</v>
      </c>
      <c r="I74" s="18"/>
      <c r="J74" s="22" t="s">
        <v>7</v>
      </c>
      <c r="K74" s="18"/>
    </row>
    <row r="75" spans="1:11" x14ac:dyDescent="0.3">
      <c r="A75" s="18">
        <v>74</v>
      </c>
      <c r="B75" s="18" t="s">
        <v>19</v>
      </c>
      <c r="C75" s="18" t="s">
        <v>153</v>
      </c>
      <c r="D75" s="18" t="s">
        <v>76</v>
      </c>
      <c r="E75" s="19" t="s">
        <v>54</v>
      </c>
      <c r="F75" s="22" t="s">
        <v>7</v>
      </c>
      <c r="G75" s="18"/>
      <c r="H75" s="22" t="s">
        <v>7</v>
      </c>
      <c r="I75" s="18"/>
      <c r="J75" s="22" t="s">
        <v>7</v>
      </c>
      <c r="K75" s="18"/>
    </row>
    <row r="76" spans="1:11" x14ac:dyDescent="0.3">
      <c r="A76" s="18">
        <v>75</v>
      </c>
      <c r="B76" s="18" t="s">
        <v>19</v>
      </c>
      <c r="C76" s="18" t="s">
        <v>154</v>
      </c>
      <c r="D76" s="18" t="s">
        <v>115</v>
      </c>
      <c r="E76" s="19" t="s">
        <v>54</v>
      </c>
      <c r="F76" s="22" t="s">
        <v>7</v>
      </c>
      <c r="G76" s="18"/>
      <c r="H76" s="22" t="s">
        <v>7</v>
      </c>
      <c r="I76" s="18"/>
      <c r="J76" s="22" t="s">
        <v>7</v>
      </c>
      <c r="K76" s="18"/>
    </row>
    <row r="77" spans="1:11" x14ac:dyDescent="0.3">
      <c r="A77" s="18">
        <v>76</v>
      </c>
      <c r="B77" s="18" t="s">
        <v>31</v>
      </c>
      <c r="C77" s="18" t="s">
        <v>155</v>
      </c>
      <c r="D77" s="18" t="s">
        <v>79</v>
      </c>
      <c r="E77" s="19" t="s">
        <v>54</v>
      </c>
      <c r="F77" s="22" t="s">
        <v>7</v>
      </c>
      <c r="G77" s="18"/>
      <c r="H77" s="22" t="s">
        <v>7</v>
      </c>
      <c r="I77" s="18"/>
      <c r="J77" s="22" t="s">
        <v>7</v>
      </c>
      <c r="K77" s="18"/>
    </row>
    <row r="78" spans="1:11" x14ac:dyDescent="0.3">
      <c r="A78" s="18">
        <v>77</v>
      </c>
      <c r="B78" s="18" t="s">
        <v>31</v>
      </c>
      <c r="C78" s="18" t="s">
        <v>156</v>
      </c>
      <c r="D78" s="18" t="s">
        <v>115</v>
      </c>
      <c r="E78" s="19" t="s">
        <v>54</v>
      </c>
      <c r="F78" s="22" t="s">
        <v>7</v>
      </c>
      <c r="G78" s="18"/>
      <c r="H78" s="22" t="s">
        <v>7</v>
      </c>
      <c r="I78" s="18"/>
      <c r="J78" s="22" t="s">
        <v>7</v>
      </c>
      <c r="K78" s="18"/>
    </row>
    <row r="79" spans="1:11" x14ac:dyDescent="0.3">
      <c r="A79" s="18">
        <v>78</v>
      </c>
      <c r="B79" s="18" t="s">
        <v>31</v>
      </c>
      <c r="C79" s="18" t="s">
        <v>157</v>
      </c>
      <c r="D79" s="18" t="s">
        <v>115</v>
      </c>
      <c r="E79" s="19" t="s">
        <v>54</v>
      </c>
      <c r="F79" s="22" t="s">
        <v>7</v>
      </c>
      <c r="G79" s="18"/>
      <c r="H79" s="22" t="s">
        <v>7</v>
      </c>
      <c r="I79" s="18"/>
      <c r="J79" s="22" t="s">
        <v>7</v>
      </c>
      <c r="K79" s="18"/>
    </row>
    <row r="80" spans="1:11" x14ac:dyDescent="0.3">
      <c r="A80" s="18">
        <v>79</v>
      </c>
      <c r="B80" s="18" t="s">
        <v>31</v>
      </c>
      <c r="C80" s="18" t="s">
        <v>158</v>
      </c>
      <c r="D80" s="18" t="s">
        <v>79</v>
      </c>
      <c r="E80" s="19" t="s">
        <v>54</v>
      </c>
      <c r="F80" s="22" t="s">
        <v>7</v>
      </c>
      <c r="G80" s="18"/>
      <c r="H80" s="22" t="s">
        <v>7</v>
      </c>
      <c r="I80" s="18"/>
      <c r="J80" s="22" t="s">
        <v>7</v>
      </c>
      <c r="K80" s="18"/>
    </row>
    <row r="81" spans="1:11" x14ac:dyDescent="0.3">
      <c r="A81" s="18">
        <v>80</v>
      </c>
      <c r="B81" s="18" t="s">
        <v>31</v>
      </c>
      <c r="C81" s="18" t="s">
        <v>159</v>
      </c>
      <c r="D81" s="18" t="s">
        <v>115</v>
      </c>
      <c r="E81" s="19" t="s">
        <v>54</v>
      </c>
      <c r="F81" s="22" t="s">
        <v>7</v>
      </c>
      <c r="G81" s="18"/>
      <c r="H81" s="22" t="s">
        <v>7</v>
      </c>
      <c r="I81" s="18"/>
      <c r="J81" s="22" t="s">
        <v>7</v>
      </c>
      <c r="K81" s="18"/>
    </row>
    <row r="82" spans="1:11" x14ac:dyDescent="0.3">
      <c r="A82" s="18">
        <v>81</v>
      </c>
      <c r="B82" s="18" t="s">
        <v>31</v>
      </c>
      <c r="C82" s="18" t="s">
        <v>160</v>
      </c>
      <c r="D82" s="18" t="s">
        <v>79</v>
      </c>
      <c r="E82" s="24" t="s">
        <v>53</v>
      </c>
      <c r="F82" s="22" t="s">
        <v>7</v>
      </c>
      <c r="G82" s="18"/>
      <c r="H82" s="22" t="s">
        <v>7</v>
      </c>
      <c r="I82" s="18"/>
      <c r="J82" s="22" t="s">
        <v>7</v>
      </c>
      <c r="K82" s="18"/>
    </row>
    <row r="83" spans="1:11" x14ac:dyDescent="0.3">
      <c r="A83" s="18">
        <v>82</v>
      </c>
      <c r="B83" s="18" t="s">
        <v>31</v>
      </c>
      <c r="C83" s="18" t="s">
        <v>161</v>
      </c>
      <c r="D83" s="18" t="s">
        <v>115</v>
      </c>
      <c r="E83" s="19" t="s">
        <v>54</v>
      </c>
      <c r="F83" s="23" t="s">
        <v>14</v>
      </c>
      <c r="G83" s="18"/>
      <c r="H83" s="22" t="s">
        <v>7</v>
      </c>
      <c r="I83" s="18"/>
      <c r="J83" s="22" t="s">
        <v>7</v>
      </c>
      <c r="K83" s="18"/>
    </row>
    <row r="84" spans="1:11" x14ac:dyDescent="0.3">
      <c r="A84" s="18">
        <v>83</v>
      </c>
      <c r="B84" s="18" t="s">
        <v>31</v>
      </c>
      <c r="C84" s="18" t="s">
        <v>162</v>
      </c>
      <c r="D84" s="18" t="s">
        <v>76</v>
      </c>
      <c r="E84" s="19" t="s">
        <v>54</v>
      </c>
      <c r="F84" s="23" t="s">
        <v>14</v>
      </c>
      <c r="G84" s="18"/>
      <c r="H84" s="22" t="s">
        <v>7</v>
      </c>
      <c r="I84" s="18"/>
      <c r="J84" s="22" t="s">
        <v>7</v>
      </c>
      <c r="K84" s="18"/>
    </row>
    <row r="85" spans="1:11" x14ac:dyDescent="0.3">
      <c r="A85" s="18">
        <v>84</v>
      </c>
      <c r="B85" s="18" t="s">
        <v>31</v>
      </c>
      <c r="C85" s="18" t="s">
        <v>163</v>
      </c>
      <c r="D85" s="18" t="s">
        <v>115</v>
      </c>
      <c r="E85" s="19" t="s">
        <v>54</v>
      </c>
      <c r="F85" s="23" t="s">
        <v>14</v>
      </c>
      <c r="G85" s="18"/>
      <c r="H85" s="22" t="s">
        <v>7</v>
      </c>
      <c r="I85" s="18"/>
      <c r="J85" s="22" t="s">
        <v>7</v>
      </c>
      <c r="K85" s="18"/>
    </row>
    <row r="86" spans="1:11" x14ac:dyDescent="0.3">
      <c r="A86" s="18">
        <v>85</v>
      </c>
      <c r="B86" s="18" t="s">
        <v>31</v>
      </c>
      <c r="C86" s="18" t="s">
        <v>164</v>
      </c>
      <c r="D86" s="18" t="s">
        <v>115</v>
      </c>
      <c r="E86" s="19" t="s">
        <v>54</v>
      </c>
      <c r="F86" s="22" t="s">
        <v>7</v>
      </c>
      <c r="G86" s="18"/>
      <c r="H86" s="22" t="s">
        <v>7</v>
      </c>
      <c r="I86" s="18"/>
      <c r="J86" s="22" t="s">
        <v>7</v>
      </c>
      <c r="K86" s="18"/>
    </row>
    <row r="87" spans="1:11" x14ac:dyDescent="0.3">
      <c r="A87" s="18">
        <v>86</v>
      </c>
      <c r="B87" s="18" t="s">
        <v>31</v>
      </c>
      <c r="C87" s="18" t="s">
        <v>165</v>
      </c>
      <c r="D87" s="18" t="s">
        <v>115</v>
      </c>
      <c r="E87" s="25" t="s">
        <v>55</v>
      </c>
      <c r="F87" s="26" t="s">
        <v>16</v>
      </c>
      <c r="G87" s="18"/>
      <c r="H87" s="26" t="s">
        <v>96</v>
      </c>
      <c r="I87" s="18"/>
      <c r="J87" s="26" t="s">
        <v>96</v>
      </c>
      <c r="K87" s="18"/>
    </row>
    <row r="88" spans="1:11" x14ac:dyDescent="0.3">
      <c r="A88" s="18">
        <v>87</v>
      </c>
      <c r="B88" s="18" t="s">
        <v>31</v>
      </c>
      <c r="C88" s="18" t="s">
        <v>166</v>
      </c>
      <c r="D88" s="18" t="s">
        <v>115</v>
      </c>
      <c r="E88" s="25" t="s">
        <v>55</v>
      </c>
      <c r="F88" s="26" t="s">
        <v>16</v>
      </c>
      <c r="G88" s="18"/>
      <c r="H88" s="26" t="s">
        <v>96</v>
      </c>
      <c r="I88" s="18"/>
      <c r="J88" s="26" t="s">
        <v>96</v>
      </c>
      <c r="K88" s="18"/>
    </row>
    <row r="89" spans="1:11" x14ac:dyDescent="0.3">
      <c r="A89" s="18">
        <v>88</v>
      </c>
      <c r="B89" s="18" t="s">
        <v>31</v>
      </c>
      <c r="C89" s="18" t="s">
        <v>167</v>
      </c>
      <c r="D89" s="18" t="s">
        <v>115</v>
      </c>
      <c r="E89" s="25" t="s">
        <v>55</v>
      </c>
      <c r="F89" s="26" t="s">
        <v>16</v>
      </c>
      <c r="G89" s="18"/>
      <c r="H89" s="26" t="s">
        <v>96</v>
      </c>
      <c r="I89" s="18"/>
      <c r="J89" s="26" t="s">
        <v>96</v>
      </c>
      <c r="K89" s="18"/>
    </row>
    <row r="90" spans="1:11" x14ac:dyDescent="0.3">
      <c r="A90" s="18">
        <v>89</v>
      </c>
      <c r="B90" s="18" t="s">
        <v>31</v>
      </c>
      <c r="C90" s="18" t="s">
        <v>168</v>
      </c>
      <c r="D90" s="18" t="s">
        <v>115</v>
      </c>
      <c r="E90" s="25" t="s">
        <v>55</v>
      </c>
      <c r="F90" s="26" t="s">
        <v>16</v>
      </c>
      <c r="G90" s="18"/>
      <c r="H90" s="26" t="s">
        <v>96</v>
      </c>
      <c r="I90" s="18"/>
      <c r="J90" s="26" t="s">
        <v>96</v>
      </c>
      <c r="K90" s="18"/>
    </row>
    <row r="91" spans="1:11" x14ac:dyDescent="0.3">
      <c r="A91" s="18">
        <v>90</v>
      </c>
      <c r="B91" s="18" t="s">
        <v>18</v>
      </c>
      <c r="C91" s="18" t="s">
        <v>169</v>
      </c>
      <c r="D91" s="18" t="s">
        <v>76</v>
      </c>
      <c r="E91" s="25" t="s">
        <v>55</v>
      </c>
      <c r="F91" s="22" t="s">
        <v>7</v>
      </c>
      <c r="G91" s="18"/>
      <c r="H91" s="22" t="s">
        <v>7</v>
      </c>
      <c r="I91" s="18"/>
      <c r="J91" s="22" t="s">
        <v>7</v>
      </c>
      <c r="K91" s="18"/>
    </row>
    <row r="92" spans="1:11" x14ac:dyDescent="0.3">
      <c r="A92" s="18">
        <v>91</v>
      </c>
      <c r="B92" s="18" t="s">
        <v>18</v>
      </c>
      <c r="C92" s="18" t="s">
        <v>170</v>
      </c>
      <c r="D92" s="18" t="s">
        <v>76</v>
      </c>
      <c r="E92" s="25" t="s">
        <v>55</v>
      </c>
      <c r="F92" s="22" t="s">
        <v>7</v>
      </c>
      <c r="G92" s="18"/>
      <c r="H92" s="22" t="s">
        <v>7</v>
      </c>
      <c r="I92" s="18"/>
      <c r="J92" s="22" t="s">
        <v>7</v>
      </c>
      <c r="K92" s="18"/>
    </row>
    <row r="93" spans="1:11" x14ac:dyDescent="0.3">
      <c r="A93" s="18">
        <v>92</v>
      </c>
      <c r="B93" s="18" t="s">
        <v>18</v>
      </c>
      <c r="C93" s="18" t="s">
        <v>171</v>
      </c>
      <c r="D93" s="18" t="s">
        <v>76</v>
      </c>
      <c r="E93" s="25" t="s">
        <v>55</v>
      </c>
      <c r="F93" s="22" t="s">
        <v>7</v>
      </c>
      <c r="G93" s="18"/>
      <c r="H93" s="22" t="s">
        <v>7</v>
      </c>
      <c r="I93" s="18"/>
      <c r="J93" s="22" t="s">
        <v>7</v>
      </c>
      <c r="K93" s="18"/>
    </row>
    <row r="94" spans="1:11" x14ac:dyDescent="0.3">
      <c r="A94" s="18">
        <v>93</v>
      </c>
      <c r="B94" s="18" t="s">
        <v>18</v>
      </c>
      <c r="C94" s="18" t="s">
        <v>172</v>
      </c>
      <c r="D94" s="18" t="s">
        <v>76</v>
      </c>
      <c r="E94" s="25" t="s">
        <v>55</v>
      </c>
      <c r="F94" s="26" t="s">
        <v>16</v>
      </c>
      <c r="G94" s="18"/>
      <c r="H94" s="26" t="s">
        <v>96</v>
      </c>
      <c r="I94" s="18"/>
      <c r="J94" s="26" t="s">
        <v>96</v>
      </c>
      <c r="K94" s="18"/>
    </row>
    <row r="95" spans="1:11" x14ac:dyDescent="0.3">
      <c r="A95" s="18">
        <v>94</v>
      </c>
      <c r="B95" s="18" t="s">
        <v>18</v>
      </c>
      <c r="C95" s="18" t="s">
        <v>173</v>
      </c>
      <c r="D95" s="18" t="s">
        <v>76</v>
      </c>
      <c r="E95" s="25" t="s">
        <v>55</v>
      </c>
      <c r="F95" s="26" t="s">
        <v>16</v>
      </c>
      <c r="G95" s="18"/>
      <c r="H95" s="26" t="s">
        <v>96</v>
      </c>
      <c r="I95" s="18"/>
      <c r="J95" s="26" t="s">
        <v>96</v>
      </c>
      <c r="K95" s="18"/>
    </row>
    <row r="96" spans="1:11" x14ac:dyDescent="0.3">
      <c r="A96" s="18">
        <v>95</v>
      </c>
      <c r="B96" s="18" t="s">
        <v>18</v>
      </c>
      <c r="C96" s="18" t="s">
        <v>174</v>
      </c>
      <c r="D96" s="18" t="s">
        <v>95</v>
      </c>
      <c r="E96" s="25" t="s">
        <v>55</v>
      </c>
      <c r="F96" s="26" t="s">
        <v>15</v>
      </c>
      <c r="G96" s="18"/>
      <c r="H96" s="26" t="s">
        <v>96</v>
      </c>
      <c r="I96" s="18"/>
      <c r="J96" s="26" t="s">
        <v>96</v>
      </c>
      <c r="K96" s="18"/>
    </row>
    <row r="97" spans="1:11" x14ac:dyDescent="0.3">
      <c r="A97" s="18">
        <v>96</v>
      </c>
      <c r="B97" s="18" t="s">
        <v>29</v>
      </c>
      <c r="C97" s="18" t="s">
        <v>175</v>
      </c>
      <c r="D97" s="18" t="s">
        <v>76</v>
      </c>
      <c r="E97" s="19" t="s">
        <v>54</v>
      </c>
      <c r="F97" s="23" t="s">
        <v>14</v>
      </c>
      <c r="G97" s="18"/>
      <c r="H97" s="22" t="s">
        <v>7</v>
      </c>
      <c r="I97" s="18"/>
      <c r="J97" s="22" t="s">
        <v>7</v>
      </c>
      <c r="K97" s="18"/>
    </row>
    <row r="98" spans="1:11" x14ac:dyDescent="0.3">
      <c r="A98" s="18">
        <v>97</v>
      </c>
      <c r="B98" s="18" t="s">
        <v>29</v>
      </c>
      <c r="C98" s="18" t="s">
        <v>176</v>
      </c>
      <c r="D98" s="18" t="s">
        <v>115</v>
      </c>
      <c r="E98" s="19" t="s">
        <v>54</v>
      </c>
      <c r="F98" s="23" t="s">
        <v>14</v>
      </c>
      <c r="G98" s="18"/>
      <c r="H98" s="22" t="s">
        <v>7</v>
      </c>
      <c r="I98" s="18"/>
      <c r="J98" s="22" t="s">
        <v>7</v>
      </c>
      <c r="K98" s="18"/>
    </row>
    <row r="99" spans="1:11" x14ac:dyDescent="0.3">
      <c r="A99" s="18">
        <v>98</v>
      </c>
      <c r="B99" s="18" t="s">
        <v>29</v>
      </c>
      <c r="C99" s="18" t="s">
        <v>177</v>
      </c>
      <c r="D99" s="18" t="s">
        <v>95</v>
      </c>
      <c r="E99" s="25" t="s">
        <v>55</v>
      </c>
      <c r="F99" s="26" t="s">
        <v>15</v>
      </c>
      <c r="G99" s="18"/>
      <c r="H99" s="26" t="s">
        <v>96</v>
      </c>
      <c r="I99" s="18"/>
      <c r="J99" s="26" t="s">
        <v>96</v>
      </c>
      <c r="K99" s="18"/>
    </row>
    <row r="100" spans="1:11" x14ac:dyDescent="0.3">
      <c r="A100" s="18">
        <v>99</v>
      </c>
      <c r="B100" s="18" t="s">
        <v>29</v>
      </c>
      <c r="C100" s="18" t="s">
        <v>178</v>
      </c>
      <c r="D100" s="18" t="s">
        <v>95</v>
      </c>
      <c r="E100" s="25" t="s">
        <v>55</v>
      </c>
      <c r="F100" s="26" t="s">
        <v>15</v>
      </c>
      <c r="G100" s="18"/>
      <c r="H100" s="26" t="s">
        <v>96</v>
      </c>
      <c r="I100" s="18"/>
      <c r="J100" s="26" t="s">
        <v>96</v>
      </c>
      <c r="K100" s="18"/>
    </row>
    <row r="101" spans="1:11" x14ac:dyDescent="0.3">
      <c r="A101" s="18">
        <v>100</v>
      </c>
      <c r="B101" s="18" t="s">
        <v>29</v>
      </c>
      <c r="C101" s="18" t="s">
        <v>179</v>
      </c>
      <c r="D101" s="18" t="s">
        <v>115</v>
      </c>
      <c r="E101" s="25" t="s">
        <v>55</v>
      </c>
      <c r="F101" s="26" t="s">
        <v>16</v>
      </c>
      <c r="G101" s="18"/>
      <c r="H101" s="26" t="s">
        <v>96</v>
      </c>
      <c r="I101" s="18"/>
      <c r="J101" s="26" t="s">
        <v>96</v>
      </c>
      <c r="K101" s="18"/>
    </row>
    <row r="102" spans="1:11" x14ac:dyDescent="0.3">
      <c r="A102" s="18">
        <v>101</v>
      </c>
      <c r="B102" s="18" t="s">
        <v>29</v>
      </c>
      <c r="C102" s="18" t="s">
        <v>180</v>
      </c>
      <c r="D102" s="18" t="s">
        <v>115</v>
      </c>
      <c r="E102" s="25" t="s">
        <v>55</v>
      </c>
      <c r="F102" s="26" t="s">
        <v>16</v>
      </c>
      <c r="G102" s="18"/>
      <c r="H102" s="26" t="s">
        <v>96</v>
      </c>
      <c r="I102" s="18"/>
      <c r="J102" s="26" t="s">
        <v>96</v>
      </c>
      <c r="K102" s="18"/>
    </row>
    <row r="103" spans="1:11" x14ac:dyDescent="0.3">
      <c r="A103" s="18" t="s">
        <v>181</v>
      </c>
      <c r="B103" s="18" t="s">
        <v>27</v>
      </c>
      <c r="C103" s="18" t="s">
        <v>182</v>
      </c>
      <c r="D103" s="18" t="s">
        <v>27</v>
      </c>
      <c r="E103" s="25" t="s">
        <v>55</v>
      </c>
      <c r="F103" s="26" t="s">
        <v>17</v>
      </c>
      <c r="G103" s="18"/>
      <c r="H103" s="26" t="s">
        <v>96</v>
      </c>
      <c r="I103" s="18"/>
      <c r="J103" s="26" t="s">
        <v>96</v>
      </c>
      <c r="K103" s="18"/>
    </row>
    <row r="104" spans="1:11" x14ac:dyDescent="0.3">
      <c r="A104" s="18">
        <v>119</v>
      </c>
      <c r="B104" s="18" t="s">
        <v>30</v>
      </c>
      <c r="C104" s="18" t="s">
        <v>183</v>
      </c>
      <c r="D104" s="18" t="s">
        <v>184</v>
      </c>
      <c r="E104" s="19" t="s">
        <v>54</v>
      </c>
      <c r="F104" s="23" t="s">
        <v>14</v>
      </c>
      <c r="G104" s="18"/>
      <c r="H104" s="22" t="s">
        <v>7</v>
      </c>
      <c r="I104" s="18"/>
      <c r="J104" s="22" t="s">
        <v>7</v>
      </c>
      <c r="K104" s="18"/>
    </row>
    <row r="105" spans="1:11" x14ac:dyDescent="0.3">
      <c r="A105" s="18">
        <v>120</v>
      </c>
      <c r="B105" s="18" t="s">
        <v>30</v>
      </c>
      <c r="C105" s="18" t="s">
        <v>185</v>
      </c>
      <c r="D105" s="18" t="s">
        <v>95</v>
      </c>
      <c r="E105" s="19" t="s">
        <v>54</v>
      </c>
      <c r="F105" s="23" t="s">
        <v>14</v>
      </c>
      <c r="G105" s="18"/>
      <c r="H105" s="22" t="s">
        <v>7</v>
      </c>
      <c r="I105" s="18"/>
      <c r="J105" s="22" t="s">
        <v>7</v>
      </c>
      <c r="K105" s="18"/>
    </row>
    <row r="106" spans="1:11" x14ac:dyDescent="0.3">
      <c r="A106" s="18">
        <v>121</v>
      </c>
      <c r="B106" s="18" t="s">
        <v>30</v>
      </c>
      <c r="C106" s="18" t="s">
        <v>186</v>
      </c>
      <c r="D106" s="18" t="s">
        <v>187</v>
      </c>
      <c r="E106" s="19" t="s">
        <v>54</v>
      </c>
      <c r="F106" s="23" t="s">
        <v>14</v>
      </c>
      <c r="G106" s="18"/>
      <c r="H106" s="22" t="s">
        <v>7</v>
      </c>
      <c r="I106" s="18"/>
      <c r="J106" s="22" t="s">
        <v>7</v>
      </c>
      <c r="K106" s="18"/>
    </row>
    <row r="107" spans="1:11" x14ac:dyDescent="0.3">
      <c r="A107" s="18">
        <v>122</v>
      </c>
      <c r="B107" s="18" t="s">
        <v>22</v>
      </c>
      <c r="C107" s="18" t="s">
        <v>188</v>
      </c>
      <c r="D107" s="18" t="s">
        <v>79</v>
      </c>
      <c r="E107" s="19" t="s">
        <v>54</v>
      </c>
      <c r="F107" s="20" t="s">
        <v>3</v>
      </c>
      <c r="G107" s="18" t="s">
        <v>62</v>
      </c>
      <c r="H107" s="21" t="s">
        <v>77</v>
      </c>
      <c r="I107" s="18" t="s">
        <v>62</v>
      </c>
      <c r="J107" s="22" t="s">
        <v>7</v>
      </c>
      <c r="K107" s="18"/>
    </row>
  </sheetData>
  <autoFilter ref="A1:K107"/>
  <conditionalFormatting sqref="E2:E107">
    <cfRule type="cellIs" dxfId="116" priority="90" operator="equal">
      <formula>"High"</formula>
    </cfRule>
    <cfRule type="cellIs" dxfId="115" priority="91" operator="equal">
      <formula>"Medium"</formula>
    </cfRule>
    <cfRule type="cellIs" dxfId="114" priority="92" operator="equal">
      <formula>"Low"</formula>
    </cfRule>
  </conditionalFormatting>
  <conditionalFormatting sqref="H2:H107">
    <cfRule type="cellIs" dxfId="104" priority="102" operator="equal">
      <formula>"Not Started"</formula>
    </cfRule>
    <cfRule type="cellIs" dxfId="103" priority="103" operator="equal">
      <formula>"Pending"</formula>
    </cfRule>
    <cfRule type="cellIs" dxfId="102" priority="104" operator="equal">
      <formula>"In Testing"</formula>
    </cfRule>
    <cfRule type="cellIs" dxfId="101" priority="105" operator="equal">
      <formula>"Passed"</formula>
    </cfRule>
    <cfRule type="cellIs" dxfId="100" priority="106" operator="equal">
      <formula>"Failed"</formula>
    </cfRule>
    <cfRule type="cellIs" dxfId="99" priority="107" operator="equal">
      <formula>"Issues Found"</formula>
    </cfRule>
    <cfRule type="cellIs" dxfId="98" priority="108" operator="equal">
      <formula>"Blocked - Awaiting Fix"</formula>
    </cfRule>
    <cfRule type="cellIs" dxfId="97" priority="109" operator="equal">
      <formula>"N/A (Upcoming)"</formula>
    </cfRule>
  </conditionalFormatting>
  <conditionalFormatting sqref="J2:J107">
    <cfRule type="cellIs" dxfId="96" priority="110" operator="equal">
      <formula>"Not Started"</formula>
    </cfRule>
    <cfRule type="cellIs" dxfId="95" priority="111" operator="equal">
      <formula>"Pending"</formula>
    </cfRule>
    <cfRule type="cellIs" dxfId="94" priority="112" operator="equal">
      <formula>"In Testing"</formula>
    </cfRule>
    <cfRule type="cellIs" dxfId="93" priority="113" operator="equal">
      <formula>"Passed"</formula>
    </cfRule>
    <cfRule type="cellIs" dxfId="92" priority="114" operator="equal">
      <formula>"Failed"</formula>
    </cfRule>
    <cfRule type="cellIs" dxfId="91" priority="115" operator="equal">
      <formula>"Issues Found"</formula>
    </cfRule>
    <cfRule type="cellIs" dxfId="90" priority="116" operator="equal">
      <formula>"Blocked - Awaiting Fix"</formula>
    </cfRule>
    <cfRule type="cellIs" dxfId="89" priority="117" operator="equal">
      <formula>"N/A (Upcoming)"</formula>
    </cfRule>
  </conditionalFormatting>
  <conditionalFormatting sqref="F2:F10 F87:F90 F83:F85 F94:F107 F47:F75 F18:F45 F12:F15">
    <cfRule type="cellIs" dxfId="88" priority="81" operator="equal">
      <formula>"Completed"</formula>
    </cfRule>
    <cfRule type="cellIs" dxfId="87" priority="82" operator="equal">
      <formula>"Completed - Needs Fix"</formula>
    </cfRule>
    <cfRule type="cellIs" dxfId="86" priority="83" operator="equal">
      <formula>"Ready to Build"</formula>
    </cfRule>
    <cfRule type="cellIs" dxfId="85" priority="84" operator="equal">
      <formula>"In Progress (Partial)"</formula>
    </cfRule>
    <cfRule type="cellIs" dxfId="84" priority="85" operator="equal">
      <formula>"Not Started"</formula>
    </cfRule>
    <cfRule type="cellIs" dxfId="83" priority="86" operator="equal">
      <formula>"Upcoming (Dashboard)"</formula>
    </cfRule>
    <cfRule type="cellIs" dxfId="82" priority="87" operator="equal">
      <formula>"Upcoming (Config)"</formula>
    </cfRule>
    <cfRule type="cellIs" dxfId="81" priority="88" operator="equal">
      <formula>"Upcoming (Mobile)"</formula>
    </cfRule>
    <cfRule type="cellIs" dxfId="80" priority="89" operator="equal">
      <formula>"Upcoming"</formula>
    </cfRule>
  </conditionalFormatting>
  <conditionalFormatting sqref="F86">
    <cfRule type="cellIs" dxfId="79" priority="73" operator="equal">
      <formula>"Not Started"</formula>
    </cfRule>
    <cfRule type="cellIs" dxfId="78" priority="74" operator="equal">
      <formula>"Pending"</formula>
    </cfRule>
    <cfRule type="cellIs" dxfId="77" priority="75" operator="equal">
      <formula>"In Testing"</formula>
    </cfRule>
    <cfRule type="cellIs" dxfId="76" priority="76" operator="equal">
      <formula>"Passed"</formula>
    </cfRule>
    <cfRule type="cellIs" dxfId="75" priority="77" operator="equal">
      <formula>"Failed"</formula>
    </cfRule>
    <cfRule type="cellIs" dxfId="74" priority="78" operator="equal">
      <formula>"Issues Found"</formula>
    </cfRule>
    <cfRule type="cellIs" dxfId="73" priority="79" operator="equal">
      <formula>"Blocked - Awaiting Fix"</formula>
    </cfRule>
    <cfRule type="cellIs" dxfId="72" priority="80" operator="equal">
      <formula>"N/A (Upcoming)"</formula>
    </cfRule>
  </conditionalFormatting>
  <conditionalFormatting sqref="F77:F82">
    <cfRule type="cellIs" dxfId="71" priority="65" operator="equal">
      <formula>"Not Started"</formula>
    </cfRule>
    <cfRule type="cellIs" dxfId="70" priority="66" operator="equal">
      <formula>"Pending"</formula>
    </cfRule>
    <cfRule type="cellIs" dxfId="69" priority="67" operator="equal">
      <formula>"In Testing"</formula>
    </cfRule>
    <cfRule type="cellIs" dxfId="68" priority="68" operator="equal">
      <formula>"Passed"</formula>
    </cfRule>
    <cfRule type="cellIs" dxfId="67" priority="69" operator="equal">
      <formula>"Failed"</formula>
    </cfRule>
    <cfRule type="cellIs" dxfId="66" priority="70" operator="equal">
      <formula>"Issues Found"</formula>
    </cfRule>
    <cfRule type="cellIs" dxfId="65" priority="71" operator="equal">
      <formula>"Blocked - Awaiting Fix"</formula>
    </cfRule>
    <cfRule type="cellIs" dxfId="64" priority="72" operator="equal">
      <formula>"N/A (Upcoming)"</formula>
    </cfRule>
  </conditionalFormatting>
  <conditionalFormatting sqref="F92">
    <cfRule type="cellIs" dxfId="63" priority="57" operator="equal">
      <formula>"Not Started"</formula>
    </cfRule>
    <cfRule type="cellIs" dxfId="62" priority="58" operator="equal">
      <formula>"Pending"</formula>
    </cfRule>
    <cfRule type="cellIs" dxfId="61" priority="59" operator="equal">
      <formula>"In Testing"</formula>
    </cfRule>
    <cfRule type="cellIs" dxfId="60" priority="60" operator="equal">
      <formula>"Passed"</formula>
    </cfRule>
    <cfRule type="cellIs" dxfId="59" priority="61" operator="equal">
      <formula>"Failed"</formula>
    </cfRule>
    <cfRule type="cellIs" dxfId="58" priority="62" operator="equal">
      <formula>"Issues Found"</formula>
    </cfRule>
    <cfRule type="cellIs" dxfId="57" priority="63" operator="equal">
      <formula>"Blocked - Awaiting Fix"</formula>
    </cfRule>
    <cfRule type="cellIs" dxfId="56" priority="64" operator="equal">
      <formula>"N/A (Upcoming)"</formula>
    </cfRule>
  </conditionalFormatting>
  <conditionalFormatting sqref="F93">
    <cfRule type="cellIs" dxfId="55" priority="49" operator="equal">
      <formula>"Not Started"</formula>
    </cfRule>
    <cfRule type="cellIs" dxfId="54" priority="50" operator="equal">
      <formula>"Pending"</formula>
    </cfRule>
    <cfRule type="cellIs" dxfId="53" priority="51" operator="equal">
      <formula>"In Testing"</formula>
    </cfRule>
    <cfRule type="cellIs" dxfId="52" priority="52" operator="equal">
      <formula>"Passed"</formula>
    </cfRule>
    <cfRule type="cellIs" dxfId="51" priority="53" operator="equal">
      <formula>"Failed"</formula>
    </cfRule>
    <cfRule type="cellIs" dxfId="50" priority="54" operator="equal">
      <formula>"Issues Found"</formula>
    </cfRule>
    <cfRule type="cellIs" dxfId="49" priority="55" operator="equal">
      <formula>"Blocked - Awaiting Fix"</formula>
    </cfRule>
    <cfRule type="cellIs" dxfId="48" priority="56" operator="equal">
      <formula>"N/A (Upcoming)"</formula>
    </cfRule>
  </conditionalFormatting>
  <conditionalFormatting sqref="F91">
    <cfRule type="cellIs" dxfId="47" priority="41" operator="equal">
      <formula>"Not Started"</formula>
    </cfRule>
    <cfRule type="cellIs" dxfId="46" priority="42" operator="equal">
      <formula>"Pending"</formula>
    </cfRule>
    <cfRule type="cellIs" dxfId="45" priority="43" operator="equal">
      <formula>"In Testing"</formula>
    </cfRule>
    <cfRule type="cellIs" dxfId="44" priority="44" operator="equal">
      <formula>"Passed"</formula>
    </cfRule>
    <cfRule type="cellIs" dxfId="43" priority="45" operator="equal">
      <formula>"Failed"</formula>
    </cfRule>
    <cfRule type="cellIs" dxfId="42" priority="46" operator="equal">
      <formula>"Issues Found"</formula>
    </cfRule>
    <cfRule type="cellIs" dxfId="41" priority="47" operator="equal">
      <formula>"Blocked - Awaiting Fix"</formula>
    </cfRule>
    <cfRule type="cellIs" dxfId="40" priority="48" operator="equal">
      <formula>"N/A (Upcoming)"</formula>
    </cfRule>
  </conditionalFormatting>
  <conditionalFormatting sqref="F76">
    <cfRule type="cellIs" dxfId="39" priority="33" operator="equal">
      <formula>"Not Started"</formula>
    </cfRule>
    <cfRule type="cellIs" dxfId="38" priority="34" operator="equal">
      <formula>"Pending"</formula>
    </cfRule>
    <cfRule type="cellIs" dxfId="37" priority="35" operator="equal">
      <formula>"In Testing"</formula>
    </cfRule>
    <cfRule type="cellIs" dxfId="36" priority="36" operator="equal">
      <formula>"Passed"</formula>
    </cfRule>
    <cfRule type="cellIs" dxfId="35" priority="37" operator="equal">
      <formula>"Failed"</formula>
    </cfRule>
    <cfRule type="cellIs" dxfId="34" priority="38" operator="equal">
      <formula>"Issues Found"</formula>
    </cfRule>
    <cfRule type="cellIs" dxfId="33" priority="39" operator="equal">
      <formula>"Blocked - Awaiting Fix"</formula>
    </cfRule>
    <cfRule type="cellIs" dxfId="32" priority="40" operator="equal">
      <formula>"N/A (Upcoming)"</formula>
    </cfRule>
  </conditionalFormatting>
  <conditionalFormatting sqref="F46">
    <cfRule type="cellIs" dxfId="31" priority="25" operator="equal">
      <formula>"Not Started"</formula>
    </cfRule>
    <cfRule type="cellIs" dxfId="30" priority="26" operator="equal">
      <formula>"Pending"</formula>
    </cfRule>
    <cfRule type="cellIs" dxfId="29" priority="27" operator="equal">
      <formula>"In Testing"</formula>
    </cfRule>
    <cfRule type="cellIs" dxfId="28" priority="28" operator="equal">
      <formula>"Passed"</formula>
    </cfRule>
    <cfRule type="cellIs" dxfId="27" priority="29" operator="equal">
      <formula>"Failed"</formula>
    </cfRule>
    <cfRule type="cellIs" dxfId="26" priority="30" operator="equal">
      <formula>"Issues Found"</formula>
    </cfRule>
    <cfRule type="cellIs" dxfId="25" priority="31" operator="equal">
      <formula>"Blocked - Awaiting Fix"</formula>
    </cfRule>
    <cfRule type="cellIs" dxfId="24" priority="32" operator="equal">
      <formula>"N/A (Upcoming)"</formula>
    </cfRule>
  </conditionalFormatting>
  <conditionalFormatting sqref="F16">
    <cfRule type="cellIs" dxfId="23" priority="17" operator="equal">
      <formula>"Not Started"</formula>
    </cfRule>
    <cfRule type="cellIs" dxfId="22" priority="18" operator="equal">
      <formula>"Pending"</formula>
    </cfRule>
    <cfRule type="cellIs" dxfId="21" priority="19" operator="equal">
      <formula>"In Testing"</formula>
    </cfRule>
    <cfRule type="cellIs" dxfId="20" priority="20" operator="equal">
      <formula>"Passed"</formula>
    </cfRule>
    <cfRule type="cellIs" dxfId="19" priority="21" operator="equal">
      <formula>"Failed"</formula>
    </cfRule>
    <cfRule type="cellIs" dxfId="18" priority="22" operator="equal">
      <formula>"Issues Found"</formula>
    </cfRule>
    <cfRule type="cellIs" dxfId="17" priority="23" operator="equal">
      <formula>"Blocked - Awaiting Fix"</formula>
    </cfRule>
    <cfRule type="cellIs" dxfId="16" priority="24" operator="equal">
      <formula>"N/A (Upcoming)"</formula>
    </cfRule>
  </conditionalFormatting>
  <conditionalFormatting sqref="F17">
    <cfRule type="cellIs" dxfId="15" priority="9" operator="equal">
      <formula>"Not Started"</formula>
    </cfRule>
    <cfRule type="cellIs" dxfId="14" priority="10" operator="equal">
      <formula>"Pending"</formula>
    </cfRule>
    <cfRule type="cellIs" dxfId="13" priority="11" operator="equal">
      <formula>"In Testing"</formula>
    </cfRule>
    <cfRule type="cellIs" dxfId="12" priority="12" operator="equal">
      <formula>"Passed"</formula>
    </cfRule>
    <cfRule type="cellIs" dxfId="11" priority="13" operator="equal">
      <formula>"Failed"</formula>
    </cfRule>
    <cfRule type="cellIs" dxfId="10" priority="14" operator="equal">
      <formula>"Issues Found"</formula>
    </cfRule>
    <cfRule type="cellIs" dxfId="9" priority="15" operator="equal">
      <formula>"Blocked - Awaiting Fix"</formula>
    </cfRule>
    <cfRule type="cellIs" dxfId="8" priority="16" operator="equal">
      <formula>"N/A (Upcoming)"</formula>
    </cfRule>
  </conditionalFormatting>
  <conditionalFormatting sqref="F11">
    <cfRule type="cellIs" dxfId="7" priority="1" operator="equal">
      <formula>"Not Started"</formula>
    </cfRule>
    <cfRule type="cellIs" dxfId="6" priority="2" operator="equal">
      <formula>"Pending"</formula>
    </cfRule>
    <cfRule type="cellIs" dxfId="5" priority="3" operator="equal">
      <formula>"In Testing"</formula>
    </cfRule>
    <cfRule type="cellIs" dxfId="4" priority="4" operator="equal">
      <formula>"Passed"</formula>
    </cfRule>
    <cfRule type="cellIs" dxfId="3" priority="5" operator="equal">
      <formula>"Failed"</formula>
    </cfRule>
    <cfRule type="cellIs" dxfId="2" priority="6" operator="equal">
      <formula>"Issues Found"</formula>
    </cfRule>
    <cfRule type="cellIs" dxfId="1" priority="7" operator="equal">
      <formula>"Blocked - Awaiting Fix"</formula>
    </cfRule>
    <cfRule type="cellIs" dxfId="0" priority="8" operator="equal">
      <formula>"N/A (Upcoming)"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errorTitle="Invalid value" error="Choose High, Medium, or Low." promptTitle="Priority" prompt="Pick: High, Medium, Low">
          <x14:formula1>
            <xm:f>Lookups!$D$2:$D$4</xm:f>
          </x14:formula1>
          <xm:sqref>E2:E107</xm:sqref>
        </x14:dataValidation>
        <x14:dataValidation type="list" allowBlank="1" errorTitle="Invalid value" error="Choose one of the predefined testing statuses." promptTitle="Dev Testing Status" prompt="Pick the developer testing status.">
          <x14:formula1>
            <xm:f>Lookups!$B$2:$B$9</xm:f>
          </x14:formula1>
          <xm:sqref>H2:H107</xm:sqref>
        </x14:dataValidation>
        <x14:dataValidation type="list" allowBlank="1" errorTitle="Invalid value" error="Choose one of the predefined testing statuses." promptTitle="QA Testing Status" prompt="Pick the QA testing status.">
          <x14:formula1>
            <xm:f>Lookups!$B$2:$B$9</xm:f>
          </x14:formula1>
          <xm:sqref>J2:J107</xm:sqref>
        </x14:dataValidation>
        <x14:dataValidation type="list" allowBlank="1" errorTitle="Invalid value" error="Please select a team member from the list." promptTitle="Team member" prompt="Pick: Karthick, Saranya, Kavin, Sangeetha">
          <x14:formula1>
            <xm:f>Lookups!$C$2:$C$5</xm:f>
          </x14:formula1>
          <xm:sqref>K2:K107</xm:sqref>
        </x14:dataValidation>
        <x14:dataValidation type="list" allowBlank="1" errorTitle="Invalid value" error="Choose one of the predefined development statuses." promptTitle="Development Status" prompt="Pick a development status from the list.">
          <x14:formula1>
            <xm:f>'[SCREEN-STATUS-OVERVIEW.xlsx]Lookups'!#REF!</xm:f>
          </x14:formula1>
          <xm:sqref>F83:F85 F87:F90 F94:F107 F47:F75 F18:F45 F2:F10 F12:F15</xm:sqref>
        </x14:dataValidation>
        <x14:dataValidation type="list" allowBlank="1" errorTitle="Invalid value" error="Choose one of the predefined testing statuses." promptTitle="Dev Testing Status" prompt="Pick the developer testing status.">
          <x14:formula1>
            <xm:f>'[SCREEN-STATUS-OVERVIEW.xlsx]Lookups'!#REF!</xm:f>
          </x14:formula1>
          <xm:sqref>F86 F76:F82 F91:F93 F46</xm:sqref>
        </x14:dataValidation>
        <x14:dataValidation type="list" allowBlank="1" errorTitle="Invalid value" error="Please select a team member from the list." promptTitle="Team member" prompt="Pick: Karthick, Saranya, Kavin, Sangeetha">
          <x14:formula1>
            <xm:f>'[SCREEN-STATUS-OVERVIEW.xlsx]Lookups'!#REF!</xm:f>
          </x14:formula1>
          <xm:sqref>G2:G107 I2:I107</xm:sqref>
        </x14:dataValidation>
        <x14:dataValidation type="list" allowBlank="1" errorTitle="Invalid value" error="Choose one of the predefined testing statuses." promptTitle="Dev Testing Status" prompt="Pick the developer testing status.">
          <x14:formula1>
            <xm:f>'[SCREEN-STATUS-OVERVIEW-v9.xlsx]Lookups'!#REF!</xm:f>
          </x14:formula1>
          <xm:sqref>F16:F17 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6"/>
  <sheetViews>
    <sheetView showGridLines="0" workbookViewId="0">
      <selection sqref="A1:K1"/>
    </sheetView>
  </sheetViews>
  <sheetFormatPr defaultRowHeight="14.4" x14ac:dyDescent="0.3"/>
  <cols>
    <col min="1" max="1" width="22" customWidth="1"/>
    <col min="2" max="21" width="14" customWidth="1"/>
  </cols>
  <sheetData>
    <row r="1" spans="1:11" ht="28.05" customHeight="1" x14ac:dyDescent="0.45">
      <c r="A1" s="31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x14ac:dyDescent="0.3">
      <c r="A2" s="30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</row>
    <row r="4" spans="1:1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11" ht="36" customHeight="1" x14ac:dyDescent="0.3">
      <c r="A5" s="2">
        <f>COUNTA('Screen Status'!A2:A107)</f>
        <v>106</v>
      </c>
      <c r="B5" s="3">
        <f>COUNTIF('Screen Status'!F2:F107,"Completed")</f>
        <v>46</v>
      </c>
      <c r="C5" s="4">
        <f>COUNTIF('Screen Status'!F2:F107,"Completed - Needs Fix")</f>
        <v>1</v>
      </c>
      <c r="D5" s="5">
        <f>COUNTIF('Screen Status'!F2:F107,"In Progress (Partial)")</f>
        <v>19</v>
      </c>
      <c r="E5" s="6">
        <f>COUNTIF('Screen Status'!F2:F107,"Ready to Build")</f>
        <v>3</v>
      </c>
      <c r="F5" s="7">
        <f>COUNTIF('Screen Status'!F2:F107,"Not Started")</f>
        <v>16</v>
      </c>
      <c r="G5" s="8">
        <f>COUNTIF('Screen Status'!F2:F107,"Upcoming*")</f>
        <v>21</v>
      </c>
      <c r="H5" s="9">
        <f>COUNTIF('Screen Status'!H2:H107,"Passed")</f>
        <v>0</v>
      </c>
      <c r="I5" s="10">
        <f>COUNTIF('Screen Status'!J2:J107,"Passed")</f>
        <v>0</v>
      </c>
    </row>
    <row r="7" spans="1:11" ht="25.95" customHeight="1" x14ac:dyDescent="0.3">
      <c r="A7" s="28" t="s">
        <v>11</v>
      </c>
      <c r="B7" s="29"/>
      <c r="C7" s="29"/>
      <c r="D7" s="29"/>
      <c r="E7" s="29"/>
      <c r="F7" s="29"/>
      <c r="G7" s="29"/>
      <c r="H7" s="29"/>
      <c r="I7" s="29"/>
      <c r="J7" s="29"/>
      <c r="K7" s="29"/>
    </row>
    <row r="8" spans="1:11" ht="37.950000000000003" customHeight="1" x14ac:dyDescent="0.3">
      <c r="A8" s="11" t="s">
        <v>12</v>
      </c>
      <c r="B8" s="11" t="s">
        <v>3</v>
      </c>
      <c r="C8" s="11" t="s">
        <v>13</v>
      </c>
      <c r="D8" s="11" t="s">
        <v>6</v>
      </c>
      <c r="E8" s="11" t="s">
        <v>14</v>
      </c>
      <c r="F8" s="11" t="s">
        <v>7</v>
      </c>
      <c r="G8" s="11" t="s">
        <v>15</v>
      </c>
      <c r="H8" s="11" t="s">
        <v>16</v>
      </c>
      <c r="I8" s="11" t="s">
        <v>17</v>
      </c>
      <c r="J8" s="11" t="s">
        <v>8</v>
      </c>
      <c r="K8" s="11" t="s">
        <v>2</v>
      </c>
    </row>
    <row r="9" spans="1:11" x14ac:dyDescent="0.3">
      <c r="A9" s="12" t="s">
        <v>18</v>
      </c>
      <c r="B9" s="13">
        <f>COUNTIFS('Screen Status'!B2:B107,"AI Intelligence",'Screen Status'!F2:F107,"Completed")</f>
        <v>0</v>
      </c>
      <c r="C9" s="13">
        <f>COUNTIFS('Screen Status'!B2:B107,"AI Intelligence",'Screen Status'!F2:F107,"Completed - Needs Fix")</f>
        <v>0</v>
      </c>
      <c r="D9" s="13">
        <f>COUNTIFS('Screen Status'!B2:B107,"AI Intelligence",'Screen Status'!F2:F107,"Ready to Build")</f>
        <v>0</v>
      </c>
      <c r="E9" s="13">
        <f>COUNTIFS('Screen Status'!B2:B107,"AI Intelligence",'Screen Status'!F2:F107,"In Progress (Partial)")</f>
        <v>0</v>
      </c>
      <c r="F9" s="13">
        <f>COUNTIFS('Screen Status'!B2:B107,"AI Intelligence",'Screen Status'!F2:F107,"Not Started")</f>
        <v>3</v>
      </c>
      <c r="G9" s="13">
        <f>COUNTIFS('Screen Status'!B2:B107,"AI Intelligence",'Screen Status'!F2:F107,"Upcoming (Dashboard)")</f>
        <v>1</v>
      </c>
      <c r="H9" s="13">
        <f>COUNTIFS('Screen Status'!B2:B107,"AI Intelligence",'Screen Status'!F2:F107,"Upcoming (Config)")</f>
        <v>2</v>
      </c>
      <c r="I9" s="13">
        <f>COUNTIFS('Screen Status'!B2:B107,"AI Intelligence",'Screen Status'!F2:F107,"Upcoming (Mobile)")</f>
        <v>0</v>
      </c>
      <c r="J9" s="13">
        <f>COUNTIFS('Screen Status'!B2:B107,"AI Intelligence",'Screen Status'!F2:F107,"Upcoming")</f>
        <v>0</v>
      </c>
      <c r="K9" s="14">
        <f>COUNTIF('Screen Status'!B2:B107,"AI Intelligence")</f>
        <v>6</v>
      </c>
    </row>
    <row r="10" spans="1:11" x14ac:dyDescent="0.3">
      <c r="A10" s="12" t="s">
        <v>19</v>
      </c>
      <c r="B10" s="13">
        <f>COUNTIFS('Screen Status'!B2:B107,"Administration",'Screen Status'!F2:F107,"Completed")</f>
        <v>0</v>
      </c>
      <c r="C10" s="13">
        <f>COUNTIFS('Screen Status'!B2:B107,"Administration",'Screen Status'!F2:F107,"Completed - Needs Fix")</f>
        <v>0</v>
      </c>
      <c r="D10" s="13">
        <f>COUNTIFS('Screen Status'!B2:B107,"Administration",'Screen Status'!F2:F107,"Ready to Build")</f>
        <v>0</v>
      </c>
      <c r="E10" s="13">
        <f>COUNTIFS('Screen Status'!B2:B107,"Administration",'Screen Status'!F2:F107,"In Progress (Partial)")</f>
        <v>4</v>
      </c>
      <c r="F10" s="13">
        <f>COUNTIFS('Screen Status'!B2:B107,"Administration",'Screen Status'!F2:F107,"Not Started")</f>
        <v>2</v>
      </c>
      <c r="G10" s="13">
        <f>COUNTIFS('Screen Status'!B2:B107,"Administration",'Screen Status'!F2:F107,"Upcoming (Dashboard)")</f>
        <v>0</v>
      </c>
      <c r="H10" s="13">
        <f>COUNTIFS('Screen Status'!B2:B107,"Administration",'Screen Status'!F2:F107,"Upcoming (Config)")</f>
        <v>0</v>
      </c>
      <c r="I10" s="13">
        <f>COUNTIFS('Screen Status'!B2:B107,"Administration",'Screen Status'!F2:F107,"Upcoming (Mobile)")</f>
        <v>0</v>
      </c>
      <c r="J10" s="13">
        <f>COUNTIFS('Screen Status'!B2:B107,"Administration",'Screen Status'!F2:F107,"Upcoming")</f>
        <v>0</v>
      </c>
      <c r="K10" s="14">
        <f>COUNTIF('Screen Status'!B2:B107,"Administration")</f>
        <v>6</v>
      </c>
    </row>
    <row r="11" spans="1:11" x14ac:dyDescent="0.3">
      <c r="A11" s="12" t="s">
        <v>20</v>
      </c>
      <c r="B11" s="13">
        <f>COUNTIFS('Screen Status'!B2:B107,"Case Management",'Screen Status'!F2:F107,"Completed")</f>
        <v>3</v>
      </c>
      <c r="C11" s="13">
        <f>COUNTIFS('Screen Status'!B2:B107,"Case Management",'Screen Status'!F2:F107,"Completed - Needs Fix")</f>
        <v>0</v>
      </c>
      <c r="D11" s="13">
        <f>COUNTIFS('Screen Status'!B2:B107,"Case Management",'Screen Status'!F2:F107,"Ready to Build")</f>
        <v>0</v>
      </c>
      <c r="E11" s="13">
        <f>COUNTIFS('Screen Status'!B2:B107,"Case Management",'Screen Status'!F2:F107,"In Progress (Partial)")</f>
        <v>0</v>
      </c>
      <c r="F11" s="13">
        <f>COUNTIFS('Screen Status'!B2:B107,"Case Management",'Screen Status'!F2:F107,"Not Started")</f>
        <v>0</v>
      </c>
      <c r="G11" s="13">
        <f>COUNTIFS('Screen Status'!B2:B107,"Case Management",'Screen Status'!F2:F107,"Upcoming (Dashboard)")</f>
        <v>1</v>
      </c>
      <c r="H11" s="13">
        <f>COUNTIFS('Screen Status'!B2:B107,"Case Management",'Screen Status'!F2:F107,"Upcoming (Config)")</f>
        <v>0</v>
      </c>
      <c r="I11" s="13">
        <f>COUNTIFS('Screen Status'!B2:B107,"Case Management",'Screen Status'!F2:F107,"Upcoming (Mobile)")</f>
        <v>0</v>
      </c>
      <c r="J11" s="13">
        <f>COUNTIFS('Screen Status'!B2:B107,"Case Management",'Screen Status'!F2:F107,"Upcoming")</f>
        <v>0</v>
      </c>
      <c r="K11" s="14">
        <f>COUNTIF('Screen Status'!B2:B107,"Case Management")</f>
        <v>4</v>
      </c>
    </row>
    <row r="12" spans="1:11" x14ac:dyDescent="0.3">
      <c r="A12" s="12" t="s">
        <v>21</v>
      </c>
      <c r="B12" s="13">
        <f>COUNTIFS('Screen Status'!B2:B107,"Communication",'Screen Status'!F2:F107,"Completed")</f>
        <v>9</v>
      </c>
      <c r="C12" s="13">
        <f>COUNTIFS('Screen Status'!B2:B107,"Communication",'Screen Status'!F2:F107,"Completed - Needs Fix")</f>
        <v>0</v>
      </c>
      <c r="D12" s="13">
        <f>COUNTIFS('Screen Status'!B2:B107,"Communication",'Screen Status'!F2:F107,"Ready to Build")</f>
        <v>2</v>
      </c>
      <c r="E12" s="13">
        <f>COUNTIFS('Screen Status'!B2:B107,"Communication",'Screen Status'!F2:F107,"In Progress (Partial)")</f>
        <v>3</v>
      </c>
      <c r="F12" s="13">
        <f>COUNTIFS('Screen Status'!B2:B107,"Communication",'Screen Status'!F2:F107,"Not Started")</f>
        <v>0</v>
      </c>
      <c r="G12" s="13">
        <f>COUNTIFS('Screen Status'!B2:B107,"Communication",'Screen Status'!F2:F107,"Upcoming (Dashboard)")</f>
        <v>1</v>
      </c>
      <c r="H12" s="13">
        <f>COUNTIFS('Screen Status'!B2:B107,"Communication",'Screen Status'!F2:F107,"Upcoming (Config)")</f>
        <v>0</v>
      </c>
      <c r="I12" s="13">
        <f>COUNTIFS('Screen Status'!B2:B107,"Communication",'Screen Status'!F2:F107,"Upcoming (Mobile)")</f>
        <v>0</v>
      </c>
      <c r="J12" s="13">
        <f>COUNTIFS('Screen Status'!B2:B107,"Communication",'Screen Status'!F2:F107,"Upcoming")</f>
        <v>0</v>
      </c>
      <c r="K12" s="14">
        <f>COUNTIF('Screen Status'!B2:B107,"Communication")</f>
        <v>15</v>
      </c>
    </row>
    <row r="13" spans="1:11" x14ac:dyDescent="0.3">
      <c r="A13" s="12" t="s">
        <v>22</v>
      </c>
      <c r="B13" s="13">
        <f>COUNTIFS('Screen Status'!B2:B107,"Contacts",'Screen Status'!F2:F107,"Completed")</f>
        <v>5</v>
      </c>
      <c r="C13" s="13">
        <f>COUNTIFS('Screen Status'!B2:B107,"Contacts",'Screen Status'!F2:F107,"Completed - Needs Fix")</f>
        <v>1</v>
      </c>
      <c r="D13" s="13">
        <f>COUNTIFS('Screen Status'!B2:B107,"Contacts",'Screen Status'!F2:F107,"Ready to Build")</f>
        <v>0</v>
      </c>
      <c r="E13" s="13">
        <f>COUNTIFS('Screen Status'!B2:B107,"Contacts",'Screen Status'!F2:F107,"In Progress (Partial)")</f>
        <v>1</v>
      </c>
      <c r="F13" s="13">
        <f>COUNTIFS('Screen Status'!B2:B107,"Contacts",'Screen Status'!F2:F107,"Not Started")</f>
        <v>0</v>
      </c>
      <c r="G13" s="13">
        <f>COUNTIFS('Screen Status'!B2:B107,"Contacts",'Screen Status'!F2:F107,"Upcoming (Dashboard)")</f>
        <v>0</v>
      </c>
      <c r="H13" s="13">
        <f>COUNTIFS('Screen Status'!B2:B107,"Contacts",'Screen Status'!F2:F107,"Upcoming (Config)")</f>
        <v>0</v>
      </c>
      <c r="I13" s="13">
        <f>COUNTIFS('Screen Status'!B2:B107,"Contacts",'Screen Status'!F2:F107,"Upcoming (Mobile)")</f>
        <v>0</v>
      </c>
      <c r="J13" s="13">
        <f>COUNTIFS('Screen Status'!B2:B107,"Contacts",'Screen Status'!F2:F107,"Upcoming")</f>
        <v>0</v>
      </c>
      <c r="K13" s="14">
        <f>COUNTIF('Screen Status'!B2:B107,"Contacts")</f>
        <v>7</v>
      </c>
    </row>
    <row r="14" spans="1:11" x14ac:dyDescent="0.3">
      <c r="A14" s="12" t="s">
        <v>23</v>
      </c>
      <c r="B14" s="13">
        <f>COUNTIFS('Screen Status'!B2:B107,"Field Collection",'Screen Status'!F2:F107,"Completed")</f>
        <v>3</v>
      </c>
      <c r="C14" s="13">
        <f>COUNTIFS('Screen Status'!B2:B107,"Field Collection",'Screen Status'!F2:F107,"Completed - Needs Fix")</f>
        <v>0</v>
      </c>
      <c r="D14" s="13">
        <f>COUNTIFS('Screen Status'!B2:B107,"Field Collection",'Screen Status'!F2:F107,"Ready to Build")</f>
        <v>0</v>
      </c>
      <c r="E14" s="13">
        <f>COUNTIFS('Screen Status'!B2:B107,"Field Collection",'Screen Status'!F2:F107,"In Progress (Partial)")</f>
        <v>1</v>
      </c>
      <c r="F14" s="13">
        <f>COUNTIFS('Screen Status'!B2:B107,"Field Collection",'Screen Status'!F2:F107,"Not Started")</f>
        <v>0</v>
      </c>
      <c r="G14" s="13">
        <f>COUNTIFS('Screen Status'!B2:B107,"Field Collection",'Screen Status'!F2:F107,"Upcoming (Dashboard)")</f>
        <v>1</v>
      </c>
      <c r="H14" s="13">
        <f>COUNTIFS('Screen Status'!B2:B107,"Field Collection",'Screen Status'!F2:F107,"Upcoming (Config)")</f>
        <v>0</v>
      </c>
      <c r="I14" s="13">
        <f>COUNTIFS('Screen Status'!B2:B107,"Field Collection",'Screen Status'!F2:F107,"Upcoming (Mobile)")</f>
        <v>0</v>
      </c>
      <c r="J14" s="13">
        <f>COUNTIFS('Screen Status'!B2:B107,"Field Collection",'Screen Status'!F2:F107,"Upcoming")</f>
        <v>0</v>
      </c>
      <c r="K14" s="14">
        <f>COUNTIF('Screen Status'!B2:B107,"Field Collection")</f>
        <v>5</v>
      </c>
    </row>
    <row r="15" spans="1:11" x14ac:dyDescent="0.3">
      <c r="A15" s="12" t="s">
        <v>24</v>
      </c>
      <c r="B15" s="13">
        <f>COUNTIFS('Screen Status'!B2:B107,"Fundraising",'Screen Status'!F2:F107,"Completed")</f>
        <v>11</v>
      </c>
      <c r="C15" s="13">
        <f>COUNTIFS('Screen Status'!B2:B107,"Fundraising",'Screen Status'!F2:F107,"Completed - Needs Fix")</f>
        <v>0</v>
      </c>
      <c r="D15" s="13">
        <f>COUNTIFS('Screen Status'!B2:B107,"Fundraising",'Screen Status'!F2:F107,"Ready to Build")</f>
        <v>0</v>
      </c>
      <c r="E15" s="13">
        <f>COUNTIFS('Screen Status'!B2:B107,"Fundraising",'Screen Status'!F2:F107,"In Progress (Partial)")</f>
        <v>2</v>
      </c>
      <c r="F15" s="13">
        <f>COUNTIFS('Screen Status'!B2:B107,"Fundraising",'Screen Status'!F2:F107,"Not Started")</f>
        <v>3</v>
      </c>
      <c r="G15" s="13">
        <f>COUNTIFS('Screen Status'!B2:B107,"Fundraising",'Screen Status'!F2:F107,"Upcoming (Dashboard)")</f>
        <v>1</v>
      </c>
      <c r="H15" s="13">
        <f>COUNTIFS('Screen Status'!B2:B107,"Fundraising",'Screen Status'!F2:F107,"Upcoming (Config)")</f>
        <v>0</v>
      </c>
      <c r="I15" s="13">
        <f>COUNTIFS('Screen Status'!B2:B107,"Fundraising",'Screen Status'!F2:F107,"Upcoming (Mobile)")</f>
        <v>0</v>
      </c>
      <c r="J15" s="13">
        <f>COUNTIFS('Screen Status'!B2:B107,"Fundraising",'Screen Status'!F2:F107,"Upcoming")</f>
        <v>0</v>
      </c>
      <c r="K15" s="14">
        <f>COUNTIF('Screen Status'!B2:B107,"Fundraising")</f>
        <v>17</v>
      </c>
    </row>
    <row r="16" spans="1:11" x14ac:dyDescent="0.3">
      <c r="A16" s="12" t="s">
        <v>25</v>
      </c>
      <c r="B16" s="13">
        <f>COUNTIFS('Screen Status'!B2:B107,"Grants",'Screen Status'!F2:F107,"Completed")</f>
        <v>2</v>
      </c>
      <c r="C16" s="13">
        <f>COUNTIFS('Screen Status'!B2:B107,"Grants",'Screen Status'!F2:F107,"Completed - Needs Fix")</f>
        <v>0</v>
      </c>
      <c r="D16" s="13">
        <f>COUNTIFS('Screen Status'!B2:B107,"Grants",'Screen Status'!F2:F107,"Ready to Build")</f>
        <v>0</v>
      </c>
      <c r="E16" s="13">
        <f>COUNTIFS('Screen Status'!B2:B107,"Grants",'Screen Status'!F2:F107,"In Progress (Partial)")</f>
        <v>0</v>
      </c>
      <c r="F16" s="13">
        <f>COUNTIFS('Screen Status'!B2:B107,"Grants",'Screen Status'!F2:F107,"Not Started")</f>
        <v>0</v>
      </c>
      <c r="G16" s="13">
        <f>COUNTIFS('Screen Status'!B2:B107,"Grants",'Screen Status'!F2:F107,"Upcoming (Dashboard)")</f>
        <v>1</v>
      </c>
      <c r="H16" s="13">
        <f>COUNTIFS('Screen Status'!B2:B107,"Grants",'Screen Status'!F2:F107,"Upcoming (Config)")</f>
        <v>0</v>
      </c>
      <c r="I16" s="13">
        <f>COUNTIFS('Screen Status'!B2:B107,"Grants",'Screen Status'!F2:F107,"Upcoming (Mobile)")</f>
        <v>0</v>
      </c>
      <c r="J16" s="13">
        <f>COUNTIFS('Screen Status'!B2:B107,"Grants",'Screen Status'!F2:F107,"Upcoming")</f>
        <v>0</v>
      </c>
      <c r="K16" s="14">
        <f>COUNTIF('Screen Status'!B2:B107,"Grants")</f>
        <v>3</v>
      </c>
    </row>
    <row r="17" spans="1:17" x14ac:dyDescent="0.3">
      <c r="A17" s="12" t="s">
        <v>26</v>
      </c>
      <c r="B17" s="13">
        <f>COUNTIFS('Screen Status'!B2:B107,"Membership",'Screen Status'!F2:F107,"Completed")</f>
        <v>3</v>
      </c>
      <c r="C17" s="13">
        <f>COUNTIFS('Screen Status'!B2:B107,"Membership",'Screen Status'!F2:F107,"Completed - Needs Fix")</f>
        <v>0</v>
      </c>
      <c r="D17" s="13">
        <f>COUNTIFS('Screen Status'!B2:B107,"Membership",'Screen Status'!F2:F107,"Ready to Build")</f>
        <v>0</v>
      </c>
      <c r="E17" s="13">
        <f>COUNTIFS('Screen Status'!B2:B107,"Membership",'Screen Status'!F2:F107,"In Progress (Partial)")</f>
        <v>0</v>
      </c>
      <c r="F17" s="13">
        <f>COUNTIFS('Screen Status'!B2:B107,"Membership",'Screen Status'!F2:F107,"Not Started")</f>
        <v>0</v>
      </c>
      <c r="G17" s="13">
        <f>COUNTIFS('Screen Status'!B2:B107,"Membership",'Screen Status'!F2:F107,"Upcoming (Dashboard)")</f>
        <v>0</v>
      </c>
      <c r="H17" s="13">
        <f>COUNTIFS('Screen Status'!B2:B107,"Membership",'Screen Status'!F2:F107,"Upcoming (Config)")</f>
        <v>1</v>
      </c>
      <c r="I17" s="13">
        <f>COUNTIFS('Screen Status'!B2:B107,"Membership",'Screen Status'!F2:F107,"Upcoming (Mobile)")</f>
        <v>0</v>
      </c>
      <c r="J17" s="13">
        <f>COUNTIFS('Screen Status'!B2:B107,"Membership",'Screen Status'!F2:F107,"Upcoming")</f>
        <v>0</v>
      </c>
      <c r="K17" s="14">
        <f>COUNTIF('Screen Status'!B2:B107,"Membership")</f>
        <v>4</v>
      </c>
    </row>
    <row r="18" spans="1:17" x14ac:dyDescent="0.3">
      <c r="A18" s="12" t="s">
        <v>27</v>
      </c>
      <c r="B18" s="13">
        <f>COUNTIFS('Screen Status'!B2:B107,"Mobile",'Screen Status'!F2:F107,"Completed")</f>
        <v>0</v>
      </c>
      <c r="C18" s="13">
        <f>COUNTIFS('Screen Status'!B2:B107,"Mobile",'Screen Status'!F2:F107,"Completed - Needs Fix")</f>
        <v>0</v>
      </c>
      <c r="D18" s="13">
        <f>COUNTIFS('Screen Status'!B2:B107,"Mobile",'Screen Status'!F2:F107,"Ready to Build")</f>
        <v>0</v>
      </c>
      <c r="E18" s="13">
        <f>COUNTIFS('Screen Status'!B2:B107,"Mobile",'Screen Status'!F2:F107,"In Progress (Partial)")</f>
        <v>0</v>
      </c>
      <c r="F18" s="13">
        <f>COUNTIFS('Screen Status'!B2:B107,"Mobile",'Screen Status'!F2:F107,"Not Started")</f>
        <v>0</v>
      </c>
      <c r="G18" s="13">
        <f>COUNTIFS('Screen Status'!B2:B107,"Mobile",'Screen Status'!F2:F107,"Upcoming (Dashboard)")</f>
        <v>0</v>
      </c>
      <c r="H18" s="13">
        <f>COUNTIFS('Screen Status'!B2:B107,"Mobile",'Screen Status'!F2:F107,"Upcoming (Config)")</f>
        <v>0</v>
      </c>
      <c r="I18" s="13">
        <f>COUNTIFS('Screen Status'!B2:B107,"Mobile",'Screen Status'!F2:F107,"Upcoming (Mobile)")</f>
        <v>1</v>
      </c>
      <c r="J18" s="13">
        <f>COUNTIFS('Screen Status'!B2:B107,"Mobile",'Screen Status'!F2:F107,"Upcoming")</f>
        <v>0</v>
      </c>
      <c r="K18" s="14">
        <f>COUNTIF('Screen Status'!B2:B107,"Mobile")</f>
        <v>1</v>
      </c>
    </row>
    <row r="19" spans="1:17" x14ac:dyDescent="0.3">
      <c r="A19" s="12" t="s">
        <v>28</v>
      </c>
      <c r="B19" s="13">
        <f>COUNTIFS('Screen Status'!B2:B107,"Organization",'Screen Status'!F2:F107,"Completed")</f>
        <v>7</v>
      </c>
      <c r="C19" s="13">
        <f>COUNTIFS('Screen Status'!B2:B107,"Organization",'Screen Status'!F2:F107,"Completed - Needs Fix")</f>
        <v>0</v>
      </c>
      <c r="D19" s="13">
        <f>COUNTIFS('Screen Status'!B2:B107,"Organization",'Screen Status'!F2:F107,"Ready to Build")</f>
        <v>1</v>
      </c>
      <c r="E19" s="13">
        <f>COUNTIFS('Screen Status'!B2:B107,"Organization",'Screen Status'!F2:F107,"In Progress (Partial)")</f>
        <v>0</v>
      </c>
      <c r="F19" s="13">
        <f>COUNTIFS('Screen Status'!B2:B107,"Organization",'Screen Status'!F2:F107,"Not Started")</f>
        <v>1</v>
      </c>
      <c r="G19" s="13">
        <f>COUNTIFS('Screen Status'!B2:B107,"Organization",'Screen Status'!F2:F107,"Upcoming (Dashboard)")</f>
        <v>1</v>
      </c>
      <c r="H19" s="13">
        <f>COUNTIFS('Screen Status'!B2:B107,"Organization",'Screen Status'!F2:F107,"Upcoming (Config)")</f>
        <v>0</v>
      </c>
      <c r="I19" s="13">
        <f>COUNTIFS('Screen Status'!B2:B107,"Organization",'Screen Status'!F2:F107,"Upcoming (Mobile)")</f>
        <v>0</v>
      </c>
      <c r="J19" s="13">
        <f>COUNTIFS('Screen Status'!B2:B107,"Organization",'Screen Status'!F2:F107,"Upcoming")</f>
        <v>0</v>
      </c>
      <c r="K19" s="14">
        <f>COUNTIF('Screen Status'!B2:B107,"Organization")</f>
        <v>10</v>
      </c>
    </row>
    <row r="20" spans="1:17" x14ac:dyDescent="0.3">
      <c r="A20" s="12" t="s">
        <v>29</v>
      </c>
      <c r="B20" s="13">
        <f>COUNTIFS('Screen Status'!B2:B107,"Reports",'Screen Status'!F2:F107,"Completed")</f>
        <v>0</v>
      </c>
      <c r="C20" s="13">
        <f>COUNTIFS('Screen Status'!B2:B107,"Reports",'Screen Status'!F2:F107,"Completed - Needs Fix")</f>
        <v>0</v>
      </c>
      <c r="D20" s="13">
        <f>COUNTIFS('Screen Status'!B2:B107,"Reports",'Screen Status'!F2:F107,"Ready to Build")</f>
        <v>0</v>
      </c>
      <c r="E20" s="13">
        <f>COUNTIFS('Screen Status'!B2:B107,"Reports",'Screen Status'!F2:F107,"In Progress (Partial)")</f>
        <v>2</v>
      </c>
      <c r="F20" s="13">
        <f>COUNTIFS('Screen Status'!B2:B107,"Reports",'Screen Status'!F2:F107,"Not Started")</f>
        <v>0</v>
      </c>
      <c r="G20" s="13">
        <f>COUNTIFS('Screen Status'!B2:B107,"Reports",'Screen Status'!F2:F107,"Upcoming (Dashboard)")</f>
        <v>2</v>
      </c>
      <c r="H20" s="13">
        <f>COUNTIFS('Screen Status'!B2:B107,"Reports",'Screen Status'!F2:F107,"Upcoming (Config)")</f>
        <v>2</v>
      </c>
      <c r="I20" s="13">
        <f>COUNTIFS('Screen Status'!B2:B107,"Reports",'Screen Status'!F2:F107,"Upcoming (Mobile)")</f>
        <v>0</v>
      </c>
      <c r="J20" s="13">
        <f>COUNTIFS('Screen Status'!B2:B107,"Reports",'Screen Status'!F2:F107,"Upcoming")</f>
        <v>0</v>
      </c>
      <c r="K20" s="14">
        <f>COUNTIF('Screen Status'!B2:B107,"Reports")</f>
        <v>6</v>
      </c>
    </row>
    <row r="21" spans="1:17" x14ac:dyDescent="0.3">
      <c r="A21" s="12" t="s">
        <v>30</v>
      </c>
      <c r="B21" s="13">
        <f>COUNTIFS('Screen Status'!B2:B107,"Root / Layout",'Screen Status'!F2:F107,"Completed")</f>
        <v>0</v>
      </c>
      <c r="C21" s="13">
        <f>COUNTIFS('Screen Status'!B2:B107,"Root / Layout",'Screen Status'!F2:F107,"Completed - Needs Fix")</f>
        <v>0</v>
      </c>
      <c r="D21" s="13">
        <f>COUNTIFS('Screen Status'!B2:B107,"Root / Layout",'Screen Status'!F2:F107,"Ready to Build")</f>
        <v>0</v>
      </c>
      <c r="E21" s="13">
        <f>COUNTIFS('Screen Status'!B2:B107,"Root / Layout",'Screen Status'!F2:F107,"In Progress (Partial)")</f>
        <v>3</v>
      </c>
      <c r="F21" s="13">
        <f>COUNTIFS('Screen Status'!B2:B107,"Root / Layout",'Screen Status'!F2:F107,"Not Started")</f>
        <v>0</v>
      </c>
      <c r="G21" s="13">
        <f>COUNTIFS('Screen Status'!B2:B107,"Root / Layout",'Screen Status'!F2:F107,"Upcoming (Dashboard)")</f>
        <v>0</v>
      </c>
      <c r="H21" s="13">
        <f>COUNTIFS('Screen Status'!B2:B107,"Root / Layout",'Screen Status'!F2:F107,"Upcoming (Config)")</f>
        <v>0</v>
      </c>
      <c r="I21" s="13">
        <f>COUNTIFS('Screen Status'!B2:B107,"Root / Layout",'Screen Status'!F2:F107,"Upcoming (Mobile)")</f>
        <v>0</v>
      </c>
      <c r="J21" s="13">
        <f>COUNTIFS('Screen Status'!B2:B107,"Root / Layout",'Screen Status'!F2:F107,"Upcoming")</f>
        <v>0</v>
      </c>
      <c r="K21" s="14">
        <f>COUNTIF('Screen Status'!B2:B107,"Root / Layout")</f>
        <v>3</v>
      </c>
    </row>
    <row r="22" spans="1:17" x14ac:dyDescent="0.3">
      <c r="A22" s="12" t="s">
        <v>31</v>
      </c>
      <c r="B22" s="13">
        <f>COUNTIFS('Screen Status'!B2:B107,"Settings",'Screen Status'!F2:F107,"Completed")</f>
        <v>0</v>
      </c>
      <c r="C22" s="13">
        <f>COUNTIFS('Screen Status'!B2:B107,"Settings",'Screen Status'!F2:F107,"Completed - Needs Fix")</f>
        <v>0</v>
      </c>
      <c r="D22" s="13">
        <f>COUNTIFS('Screen Status'!B2:B107,"Settings",'Screen Status'!F2:F107,"Ready to Build")</f>
        <v>0</v>
      </c>
      <c r="E22" s="13">
        <f>COUNTIFS('Screen Status'!B2:B107,"Settings",'Screen Status'!F2:F107,"In Progress (Partial)")</f>
        <v>3</v>
      </c>
      <c r="F22" s="13">
        <f>COUNTIFS('Screen Status'!B2:B107,"Settings",'Screen Status'!F2:F107,"Not Started")</f>
        <v>7</v>
      </c>
      <c r="G22" s="13">
        <f>COUNTIFS('Screen Status'!B2:B107,"Settings",'Screen Status'!F2:F107,"Upcoming (Dashboard)")</f>
        <v>0</v>
      </c>
      <c r="H22" s="13">
        <f>COUNTIFS('Screen Status'!B2:B107,"Settings",'Screen Status'!F2:F107,"Upcoming (Config)")</f>
        <v>4</v>
      </c>
      <c r="I22" s="13">
        <f>COUNTIFS('Screen Status'!B2:B107,"Settings",'Screen Status'!F2:F107,"Upcoming (Mobile)")</f>
        <v>0</v>
      </c>
      <c r="J22" s="13">
        <f>COUNTIFS('Screen Status'!B2:B107,"Settings",'Screen Status'!F2:F107,"Upcoming")</f>
        <v>0</v>
      </c>
      <c r="K22" s="14">
        <f>COUNTIF('Screen Status'!B2:B107,"Settings")</f>
        <v>14</v>
      </c>
    </row>
    <row r="23" spans="1:17" x14ac:dyDescent="0.3">
      <c r="A23" s="12" t="s">
        <v>32</v>
      </c>
      <c r="B23" s="13">
        <f>COUNTIFS('Screen Status'!B2:B107,"Volunteer",'Screen Status'!F2:F107,"Completed")</f>
        <v>3</v>
      </c>
      <c r="C23" s="13">
        <f>COUNTIFS('Screen Status'!B2:B107,"Volunteer",'Screen Status'!F2:F107,"Completed - Needs Fix")</f>
        <v>0</v>
      </c>
      <c r="D23" s="13">
        <f>COUNTIFS('Screen Status'!B2:B107,"Volunteer",'Screen Status'!F2:F107,"Ready to Build")</f>
        <v>0</v>
      </c>
      <c r="E23" s="13">
        <f>COUNTIFS('Screen Status'!B2:B107,"Volunteer",'Screen Status'!F2:F107,"In Progress (Partial)")</f>
        <v>0</v>
      </c>
      <c r="F23" s="13">
        <f>COUNTIFS('Screen Status'!B2:B107,"Volunteer",'Screen Status'!F2:F107,"Not Started")</f>
        <v>0</v>
      </c>
      <c r="G23" s="13">
        <f>COUNTIFS('Screen Status'!B2:B107,"Volunteer",'Screen Status'!F2:F107,"Upcoming (Dashboard)")</f>
        <v>2</v>
      </c>
      <c r="H23" s="13">
        <f>COUNTIFS('Screen Status'!B2:B107,"Volunteer",'Screen Status'!F2:F107,"Upcoming (Config)")</f>
        <v>0</v>
      </c>
      <c r="I23" s="13">
        <f>COUNTIFS('Screen Status'!B2:B107,"Volunteer",'Screen Status'!F2:F107,"Upcoming (Mobile)")</f>
        <v>0</v>
      </c>
      <c r="J23" s="13">
        <f>COUNTIFS('Screen Status'!B2:B107,"Volunteer",'Screen Status'!F2:F107,"Upcoming")</f>
        <v>0</v>
      </c>
      <c r="K23" s="14">
        <f>COUNTIF('Screen Status'!B2:B107,"Volunteer")</f>
        <v>5</v>
      </c>
    </row>
    <row r="24" spans="1:17" x14ac:dyDescent="0.3">
      <c r="A24" s="15" t="s">
        <v>2</v>
      </c>
      <c r="B24" s="14">
        <f>COUNTIF('Screen Status'!F2:F107,"Completed")</f>
        <v>46</v>
      </c>
      <c r="C24" s="14">
        <f>COUNTIF('Screen Status'!F2:F107,"Completed - Needs Fix")</f>
        <v>1</v>
      </c>
      <c r="D24" s="14">
        <f>COUNTIF('Screen Status'!F2:F107,"Ready to Build")</f>
        <v>3</v>
      </c>
      <c r="E24" s="14">
        <f>COUNTIF('Screen Status'!F2:F107,"In Progress (Partial)")</f>
        <v>19</v>
      </c>
      <c r="F24" s="14">
        <f>COUNTIF('Screen Status'!F2:F107,"Not Started")</f>
        <v>16</v>
      </c>
      <c r="G24" s="14">
        <f>COUNTIF('Screen Status'!F2:F107,"Upcoming (Dashboard)")</f>
        <v>11</v>
      </c>
      <c r="H24" s="14">
        <f>COUNTIF('Screen Status'!F2:F107,"Upcoming (Config)")</f>
        <v>9</v>
      </c>
      <c r="I24" s="14">
        <f>COUNTIF('Screen Status'!F2:F107,"Upcoming (Mobile)")</f>
        <v>1</v>
      </c>
      <c r="J24" s="14">
        <f>COUNTIF('Screen Status'!F2:F107,"Upcoming")</f>
        <v>0</v>
      </c>
      <c r="K24" s="14">
        <f>COUNTA('Screen Status'!A2:A107)</f>
        <v>106</v>
      </c>
    </row>
    <row r="26" spans="1:17" ht="25.95" customHeight="1" x14ac:dyDescent="0.3">
      <c r="A26" s="28" t="s">
        <v>33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</row>
    <row r="27" spans="1:17" ht="37.950000000000003" customHeight="1" x14ac:dyDescent="0.3">
      <c r="A27" s="11" t="s">
        <v>12</v>
      </c>
      <c r="B27" s="11" t="s">
        <v>34</v>
      </c>
      <c r="C27" s="11" t="s">
        <v>35</v>
      </c>
      <c r="D27" s="11" t="s">
        <v>36</v>
      </c>
      <c r="E27" s="11" t="s">
        <v>37</v>
      </c>
      <c r="F27" s="11" t="s">
        <v>38</v>
      </c>
      <c r="G27" s="11" t="s">
        <v>39</v>
      </c>
      <c r="H27" s="11" t="s">
        <v>40</v>
      </c>
      <c r="I27" s="11" t="s">
        <v>41</v>
      </c>
      <c r="J27" s="11" t="s">
        <v>42</v>
      </c>
      <c r="K27" s="11" t="s">
        <v>43</v>
      </c>
      <c r="L27" s="11" t="s">
        <v>44</v>
      </c>
      <c r="M27" s="11" t="s">
        <v>45</v>
      </c>
      <c r="N27" s="11" t="s">
        <v>46</v>
      </c>
      <c r="O27" s="11" t="s">
        <v>47</v>
      </c>
      <c r="P27" s="11" t="s">
        <v>48</v>
      </c>
      <c r="Q27" s="11" t="s">
        <v>49</v>
      </c>
    </row>
    <row r="28" spans="1:17" x14ac:dyDescent="0.3">
      <c r="A28" s="12" t="s">
        <v>18</v>
      </c>
      <c r="B28" s="13">
        <f>COUNTIFS('Screen Status'!B2:B107,"AI Intelligence",'Screen Status'!H2:H107,"Not Started")</f>
        <v>3</v>
      </c>
      <c r="C28" s="13">
        <f>COUNTIFS('Screen Status'!B2:B107,"AI Intelligence",'Screen Status'!H2:H107,"Pending")</f>
        <v>0</v>
      </c>
      <c r="D28" s="13">
        <f>COUNTIFS('Screen Status'!B2:B107,"AI Intelligence",'Screen Status'!H2:H107,"In Testing")</f>
        <v>0</v>
      </c>
      <c r="E28" s="13">
        <f>COUNTIFS('Screen Status'!B2:B107,"AI Intelligence",'Screen Status'!H2:H107,"Passed")</f>
        <v>0</v>
      </c>
      <c r="F28" s="13">
        <f>COUNTIFS('Screen Status'!B2:B107,"AI Intelligence",'Screen Status'!H2:H107,"Failed")</f>
        <v>0</v>
      </c>
      <c r="G28" s="13">
        <f>COUNTIFS('Screen Status'!B2:B107,"AI Intelligence",'Screen Status'!H2:H107,"Issues Found")</f>
        <v>0</v>
      </c>
      <c r="H28" s="13">
        <f>COUNTIFS('Screen Status'!B2:B107,"AI Intelligence",'Screen Status'!H2:H107,"Blocked - Awaiting Fix")</f>
        <v>0</v>
      </c>
      <c r="I28" s="13">
        <f>COUNTIFS('Screen Status'!B2:B107,"AI Intelligence",'Screen Status'!H2:H107,"N/A (Upcoming)")</f>
        <v>3</v>
      </c>
      <c r="J28" s="13">
        <f>COUNTIFS('Screen Status'!B2:B107,"AI Intelligence",'Screen Status'!J2:J107,"Not Started")</f>
        <v>3</v>
      </c>
      <c r="K28" s="13">
        <f>COUNTIFS('Screen Status'!B2:B107,"AI Intelligence",'Screen Status'!J2:J107,"Pending")</f>
        <v>0</v>
      </c>
      <c r="L28" s="13">
        <f>COUNTIFS('Screen Status'!B2:B107,"AI Intelligence",'Screen Status'!J2:J107,"In Testing")</f>
        <v>0</v>
      </c>
      <c r="M28" s="13">
        <f>COUNTIFS('Screen Status'!B2:B107,"AI Intelligence",'Screen Status'!J2:J107,"Passed")</f>
        <v>0</v>
      </c>
      <c r="N28" s="13">
        <f>COUNTIFS('Screen Status'!B2:B107,"AI Intelligence",'Screen Status'!J2:J107,"Failed")</f>
        <v>0</v>
      </c>
      <c r="O28" s="13">
        <f>COUNTIFS('Screen Status'!B2:B107,"AI Intelligence",'Screen Status'!J2:J107,"Issues Found")</f>
        <v>0</v>
      </c>
      <c r="P28" s="13">
        <f>COUNTIFS('Screen Status'!B2:B107,"AI Intelligence",'Screen Status'!J2:J107,"Blocked - Awaiting Fix")</f>
        <v>0</v>
      </c>
      <c r="Q28" s="13">
        <f>COUNTIFS('Screen Status'!B2:B107,"AI Intelligence",'Screen Status'!J2:J107,"N/A (Upcoming)")</f>
        <v>3</v>
      </c>
    </row>
    <row r="29" spans="1:17" x14ac:dyDescent="0.3">
      <c r="A29" s="12" t="s">
        <v>19</v>
      </c>
      <c r="B29" s="13">
        <f>COUNTIFS('Screen Status'!B2:B107,"Administration",'Screen Status'!H2:H107,"Not Started")</f>
        <v>6</v>
      </c>
      <c r="C29" s="13">
        <f>COUNTIFS('Screen Status'!B2:B107,"Administration",'Screen Status'!H2:H107,"Pending")</f>
        <v>0</v>
      </c>
      <c r="D29" s="13">
        <f>COUNTIFS('Screen Status'!B2:B107,"Administration",'Screen Status'!H2:H107,"In Testing")</f>
        <v>0</v>
      </c>
      <c r="E29" s="13">
        <f>COUNTIFS('Screen Status'!B2:B107,"Administration",'Screen Status'!H2:H107,"Passed")</f>
        <v>0</v>
      </c>
      <c r="F29" s="13">
        <f>COUNTIFS('Screen Status'!B2:B107,"Administration",'Screen Status'!H2:H107,"Failed")</f>
        <v>0</v>
      </c>
      <c r="G29" s="13">
        <f>COUNTIFS('Screen Status'!B2:B107,"Administration",'Screen Status'!H2:H107,"Issues Found")</f>
        <v>0</v>
      </c>
      <c r="H29" s="13">
        <f>COUNTIFS('Screen Status'!B2:B107,"Administration",'Screen Status'!H2:H107,"Blocked - Awaiting Fix")</f>
        <v>0</v>
      </c>
      <c r="I29" s="13">
        <f>COUNTIFS('Screen Status'!B2:B107,"Administration",'Screen Status'!H2:H107,"N/A (Upcoming)")</f>
        <v>0</v>
      </c>
      <c r="J29" s="13">
        <f>COUNTIFS('Screen Status'!B2:B107,"Administration",'Screen Status'!J2:J107,"Not Started")</f>
        <v>6</v>
      </c>
      <c r="K29" s="13">
        <f>COUNTIFS('Screen Status'!B2:B107,"Administration",'Screen Status'!J2:J107,"Pending")</f>
        <v>0</v>
      </c>
      <c r="L29" s="13">
        <f>COUNTIFS('Screen Status'!B2:B107,"Administration",'Screen Status'!J2:J107,"In Testing")</f>
        <v>0</v>
      </c>
      <c r="M29" s="13">
        <f>COUNTIFS('Screen Status'!B2:B107,"Administration",'Screen Status'!J2:J107,"Passed")</f>
        <v>0</v>
      </c>
      <c r="N29" s="13">
        <f>COUNTIFS('Screen Status'!B2:B107,"Administration",'Screen Status'!J2:J107,"Failed")</f>
        <v>0</v>
      </c>
      <c r="O29" s="13">
        <f>COUNTIFS('Screen Status'!B2:B107,"Administration",'Screen Status'!J2:J107,"Issues Found")</f>
        <v>0</v>
      </c>
      <c r="P29" s="13">
        <f>COUNTIFS('Screen Status'!B2:B107,"Administration",'Screen Status'!J2:J107,"Blocked - Awaiting Fix")</f>
        <v>0</v>
      </c>
      <c r="Q29" s="13">
        <f>COUNTIFS('Screen Status'!B2:B107,"Administration",'Screen Status'!J2:J107,"N/A (Upcoming)")</f>
        <v>0</v>
      </c>
    </row>
    <row r="30" spans="1:17" x14ac:dyDescent="0.3">
      <c r="A30" s="12" t="s">
        <v>20</v>
      </c>
      <c r="B30" s="13">
        <f>COUNTIFS('Screen Status'!B2:B107,"Case Management",'Screen Status'!H2:H107,"Not Started")</f>
        <v>0</v>
      </c>
      <c r="C30" s="13">
        <f>COUNTIFS('Screen Status'!B2:B107,"Case Management",'Screen Status'!H2:H107,"Pending")</f>
        <v>3</v>
      </c>
      <c r="D30" s="13">
        <f>COUNTIFS('Screen Status'!B2:B107,"Case Management",'Screen Status'!H2:H107,"In Testing")</f>
        <v>0</v>
      </c>
      <c r="E30" s="13">
        <f>COUNTIFS('Screen Status'!B2:B107,"Case Management",'Screen Status'!H2:H107,"Passed")</f>
        <v>0</v>
      </c>
      <c r="F30" s="13">
        <f>COUNTIFS('Screen Status'!B2:B107,"Case Management",'Screen Status'!H2:H107,"Failed")</f>
        <v>0</v>
      </c>
      <c r="G30" s="13">
        <f>COUNTIFS('Screen Status'!B2:B107,"Case Management",'Screen Status'!H2:H107,"Issues Found")</f>
        <v>0</v>
      </c>
      <c r="H30" s="13">
        <f>COUNTIFS('Screen Status'!B2:B107,"Case Management",'Screen Status'!H2:H107,"Blocked - Awaiting Fix")</f>
        <v>0</v>
      </c>
      <c r="I30" s="13">
        <f>COUNTIFS('Screen Status'!B2:B107,"Case Management",'Screen Status'!H2:H107,"N/A (Upcoming)")</f>
        <v>1</v>
      </c>
      <c r="J30" s="13">
        <f>COUNTIFS('Screen Status'!B2:B107,"Case Management",'Screen Status'!J2:J107,"Not Started")</f>
        <v>3</v>
      </c>
      <c r="K30" s="13">
        <f>COUNTIFS('Screen Status'!B2:B107,"Case Management",'Screen Status'!J2:J107,"Pending")</f>
        <v>0</v>
      </c>
      <c r="L30" s="13">
        <f>COUNTIFS('Screen Status'!B2:B107,"Case Management",'Screen Status'!J2:J107,"In Testing")</f>
        <v>0</v>
      </c>
      <c r="M30" s="13">
        <f>COUNTIFS('Screen Status'!B2:B107,"Case Management",'Screen Status'!J2:J107,"Passed")</f>
        <v>0</v>
      </c>
      <c r="N30" s="13">
        <f>COUNTIFS('Screen Status'!B2:B107,"Case Management",'Screen Status'!J2:J107,"Failed")</f>
        <v>0</v>
      </c>
      <c r="O30" s="13">
        <f>COUNTIFS('Screen Status'!B2:B107,"Case Management",'Screen Status'!J2:J107,"Issues Found")</f>
        <v>0</v>
      </c>
      <c r="P30" s="13">
        <f>COUNTIFS('Screen Status'!B2:B107,"Case Management",'Screen Status'!J2:J107,"Blocked - Awaiting Fix")</f>
        <v>0</v>
      </c>
      <c r="Q30" s="13">
        <f>COUNTIFS('Screen Status'!B2:B107,"Case Management",'Screen Status'!J2:J107,"N/A (Upcoming)")</f>
        <v>1</v>
      </c>
    </row>
    <row r="31" spans="1:17" x14ac:dyDescent="0.3">
      <c r="A31" s="12" t="s">
        <v>21</v>
      </c>
      <c r="B31" s="13">
        <f>COUNTIFS('Screen Status'!B2:B107,"Communication",'Screen Status'!H2:H107,"Not Started")</f>
        <v>5</v>
      </c>
      <c r="C31" s="13">
        <f>COUNTIFS('Screen Status'!B2:B107,"Communication",'Screen Status'!H2:H107,"Pending")</f>
        <v>9</v>
      </c>
      <c r="D31" s="13">
        <f>COUNTIFS('Screen Status'!B2:B107,"Communication",'Screen Status'!H2:H107,"In Testing")</f>
        <v>0</v>
      </c>
      <c r="E31" s="13">
        <f>COUNTIFS('Screen Status'!B2:B107,"Communication",'Screen Status'!H2:H107,"Passed")</f>
        <v>0</v>
      </c>
      <c r="F31" s="13">
        <f>COUNTIFS('Screen Status'!B2:B107,"Communication",'Screen Status'!H2:H107,"Failed")</f>
        <v>0</v>
      </c>
      <c r="G31" s="13">
        <f>COUNTIFS('Screen Status'!B2:B107,"Communication",'Screen Status'!H2:H107,"Issues Found")</f>
        <v>0</v>
      </c>
      <c r="H31" s="13">
        <f>COUNTIFS('Screen Status'!B2:B107,"Communication",'Screen Status'!H2:H107,"Blocked - Awaiting Fix")</f>
        <v>0</v>
      </c>
      <c r="I31" s="13">
        <f>COUNTIFS('Screen Status'!B2:B107,"Communication",'Screen Status'!H2:H107,"N/A (Upcoming)")</f>
        <v>1</v>
      </c>
      <c r="J31" s="13">
        <f>COUNTIFS('Screen Status'!B2:B107,"Communication",'Screen Status'!J2:J107,"Not Started")</f>
        <v>14</v>
      </c>
      <c r="K31" s="13">
        <f>COUNTIFS('Screen Status'!B2:B107,"Communication",'Screen Status'!J2:J107,"Pending")</f>
        <v>0</v>
      </c>
      <c r="L31" s="13">
        <f>COUNTIFS('Screen Status'!B2:B107,"Communication",'Screen Status'!J2:J107,"In Testing")</f>
        <v>0</v>
      </c>
      <c r="M31" s="13">
        <f>COUNTIFS('Screen Status'!B2:B107,"Communication",'Screen Status'!J2:J107,"Passed")</f>
        <v>0</v>
      </c>
      <c r="N31" s="13">
        <f>COUNTIFS('Screen Status'!B2:B107,"Communication",'Screen Status'!J2:J107,"Failed")</f>
        <v>0</v>
      </c>
      <c r="O31" s="13">
        <f>COUNTIFS('Screen Status'!B2:B107,"Communication",'Screen Status'!J2:J107,"Issues Found")</f>
        <v>0</v>
      </c>
      <c r="P31" s="13">
        <f>COUNTIFS('Screen Status'!B2:B107,"Communication",'Screen Status'!J2:J107,"Blocked - Awaiting Fix")</f>
        <v>0</v>
      </c>
      <c r="Q31" s="13">
        <f>COUNTIFS('Screen Status'!B2:B107,"Communication",'Screen Status'!J2:J107,"N/A (Upcoming)")</f>
        <v>1</v>
      </c>
    </row>
    <row r="32" spans="1:17" x14ac:dyDescent="0.3">
      <c r="A32" s="12" t="s">
        <v>22</v>
      </c>
      <c r="B32" s="13">
        <f>COUNTIFS('Screen Status'!B2:B107,"Contacts",'Screen Status'!H2:H107,"Not Started")</f>
        <v>1</v>
      </c>
      <c r="C32" s="13">
        <f>COUNTIFS('Screen Status'!B2:B107,"Contacts",'Screen Status'!H2:H107,"Pending")</f>
        <v>5</v>
      </c>
      <c r="D32" s="13">
        <f>COUNTIFS('Screen Status'!B2:B107,"Contacts",'Screen Status'!H2:H107,"In Testing")</f>
        <v>0</v>
      </c>
      <c r="E32" s="13">
        <f>COUNTIFS('Screen Status'!B2:B107,"Contacts",'Screen Status'!H2:H107,"Passed")</f>
        <v>0</v>
      </c>
      <c r="F32" s="13">
        <f>COUNTIFS('Screen Status'!B2:B107,"Contacts",'Screen Status'!H2:H107,"Failed")</f>
        <v>0</v>
      </c>
      <c r="G32" s="13">
        <f>COUNTIFS('Screen Status'!B2:B107,"Contacts",'Screen Status'!H2:H107,"Issues Found")</f>
        <v>0</v>
      </c>
      <c r="H32" s="13">
        <f>COUNTIFS('Screen Status'!B2:B107,"Contacts",'Screen Status'!H2:H107,"Blocked - Awaiting Fix")</f>
        <v>1</v>
      </c>
      <c r="I32" s="13">
        <f>COUNTIFS('Screen Status'!B2:B107,"Contacts",'Screen Status'!H2:H107,"N/A (Upcoming)")</f>
        <v>0</v>
      </c>
      <c r="J32" s="13">
        <f>COUNTIFS('Screen Status'!B2:B107,"Contacts",'Screen Status'!J2:J107,"Not Started")</f>
        <v>7</v>
      </c>
      <c r="K32" s="13">
        <f>COUNTIFS('Screen Status'!B2:B107,"Contacts",'Screen Status'!J2:J107,"Pending")</f>
        <v>0</v>
      </c>
      <c r="L32" s="13">
        <f>COUNTIFS('Screen Status'!B2:B107,"Contacts",'Screen Status'!J2:J107,"In Testing")</f>
        <v>0</v>
      </c>
      <c r="M32" s="13">
        <f>COUNTIFS('Screen Status'!B2:B107,"Contacts",'Screen Status'!J2:J107,"Passed")</f>
        <v>0</v>
      </c>
      <c r="N32" s="13">
        <f>COUNTIFS('Screen Status'!B2:B107,"Contacts",'Screen Status'!J2:J107,"Failed")</f>
        <v>0</v>
      </c>
      <c r="O32" s="13">
        <f>COUNTIFS('Screen Status'!B2:B107,"Contacts",'Screen Status'!J2:J107,"Issues Found")</f>
        <v>0</v>
      </c>
      <c r="P32" s="13">
        <f>COUNTIFS('Screen Status'!B2:B107,"Contacts",'Screen Status'!J2:J107,"Blocked - Awaiting Fix")</f>
        <v>0</v>
      </c>
      <c r="Q32" s="13">
        <f>COUNTIFS('Screen Status'!B2:B107,"Contacts",'Screen Status'!J2:J107,"N/A (Upcoming)")</f>
        <v>0</v>
      </c>
    </row>
    <row r="33" spans="1:17" x14ac:dyDescent="0.3">
      <c r="A33" s="12" t="s">
        <v>23</v>
      </c>
      <c r="B33" s="13">
        <f>COUNTIFS('Screen Status'!B2:B107,"Field Collection",'Screen Status'!H2:H107,"Not Started")</f>
        <v>1</v>
      </c>
      <c r="C33" s="13">
        <f>COUNTIFS('Screen Status'!B2:B107,"Field Collection",'Screen Status'!H2:H107,"Pending")</f>
        <v>3</v>
      </c>
      <c r="D33" s="13">
        <f>COUNTIFS('Screen Status'!B2:B107,"Field Collection",'Screen Status'!H2:H107,"In Testing")</f>
        <v>0</v>
      </c>
      <c r="E33" s="13">
        <f>COUNTIFS('Screen Status'!B2:B107,"Field Collection",'Screen Status'!H2:H107,"Passed")</f>
        <v>0</v>
      </c>
      <c r="F33" s="13">
        <f>COUNTIFS('Screen Status'!B2:B107,"Field Collection",'Screen Status'!H2:H107,"Failed")</f>
        <v>0</v>
      </c>
      <c r="G33" s="13">
        <f>COUNTIFS('Screen Status'!B2:B107,"Field Collection",'Screen Status'!H2:H107,"Issues Found")</f>
        <v>0</v>
      </c>
      <c r="H33" s="13">
        <f>COUNTIFS('Screen Status'!B2:B107,"Field Collection",'Screen Status'!H2:H107,"Blocked - Awaiting Fix")</f>
        <v>0</v>
      </c>
      <c r="I33" s="13">
        <f>COUNTIFS('Screen Status'!B2:B107,"Field Collection",'Screen Status'!H2:H107,"N/A (Upcoming)")</f>
        <v>1</v>
      </c>
      <c r="J33" s="13">
        <f>COUNTIFS('Screen Status'!B2:B107,"Field Collection",'Screen Status'!J2:J107,"Not Started")</f>
        <v>4</v>
      </c>
      <c r="K33" s="13">
        <f>COUNTIFS('Screen Status'!B2:B107,"Field Collection",'Screen Status'!J2:J107,"Pending")</f>
        <v>0</v>
      </c>
      <c r="L33" s="13">
        <f>COUNTIFS('Screen Status'!B2:B107,"Field Collection",'Screen Status'!J2:J107,"In Testing")</f>
        <v>0</v>
      </c>
      <c r="M33" s="13">
        <f>COUNTIFS('Screen Status'!B2:B107,"Field Collection",'Screen Status'!J2:J107,"Passed")</f>
        <v>0</v>
      </c>
      <c r="N33" s="13">
        <f>COUNTIFS('Screen Status'!B2:B107,"Field Collection",'Screen Status'!J2:J107,"Failed")</f>
        <v>0</v>
      </c>
      <c r="O33" s="13">
        <f>COUNTIFS('Screen Status'!B2:B107,"Field Collection",'Screen Status'!J2:J107,"Issues Found")</f>
        <v>0</v>
      </c>
      <c r="P33" s="13">
        <f>COUNTIFS('Screen Status'!B2:B107,"Field Collection",'Screen Status'!J2:J107,"Blocked - Awaiting Fix")</f>
        <v>0</v>
      </c>
      <c r="Q33" s="13">
        <f>COUNTIFS('Screen Status'!B2:B107,"Field Collection",'Screen Status'!J2:J107,"N/A (Upcoming)")</f>
        <v>1</v>
      </c>
    </row>
    <row r="34" spans="1:17" x14ac:dyDescent="0.3">
      <c r="A34" s="12" t="s">
        <v>24</v>
      </c>
      <c r="B34" s="13">
        <f>COUNTIFS('Screen Status'!B2:B107,"Fundraising",'Screen Status'!H2:H107,"Not Started")</f>
        <v>5</v>
      </c>
      <c r="C34" s="13">
        <f>COUNTIFS('Screen Status'!B2:B107,"Fundraising",'Screen Status'!H2:H107,"Pending")</f>
        <v>11</v>
      </c>
      <c r="D34" s="13">
        <f>COUNTIFS('Screen Status'!B2:B107,"Fundraising",'Screen Status'!H2:H107,"In Testing")</f>
        <v>0</v>
      </c>
      <c r="E34" s="13">
        <f>COUNTIFS('Screen Status'!B2:B107,"Fundraising",'Screen Status'!H2:H107,"Passed")</f>
        <v>0</v>
      </c>
      <c r="F34" s="13">
        <f>COUNTIFS('Screen Status'!B2:B107,"Fundraising",'Screen Status'!H2:H107,"Failed")</f>
        <v>0</v>
      </c>
      <c r="G34" s="13">
        <f>COUNTIFS('Screen Status'!B2:B107,"Fundraising",'Screen Status'!H2:H107,"Issues Found")</f>
        <v>0</v>
      </c>
      <c r="H34" s="13">
        <f>COUNTIFS('Screen Status'!B2:B107,"Fundraising",'Screen Status'!H2:H107,"Blocked - Awaiting Fix")</f>
        <v>0</v>
      </c>
      <c r="I34" s="13">
        <f>COUNTIFS('Screen Status'!B2:B107,"Fundraising",'Screen Status'!H2:H107,"N/A (Upcoming)")</f>
        <v>1</v>
      </c>
      <c r="J34" s="13">
        <f>COUNTIFS('Screen Status'!B2:B107,"Fundraising",'Screen Status'!J2:J107,"Not Started")</f>
        <v>16</v>
      </c>
      <c r="K34" s="13">
        <f>COUNTIFS('Screen Status'!B2:B107,"Fundraising",'Screen Status'!J2:J107,"Pending")</f>
        <v>0</v>
      </c>
      <c r="L34" s="13">
        <f>COUNTIFS('Screen Status'!B2:B107,"Fundraising",'Screen Status'!J2:J107,"In Testing")</f>
        <v>0</v>
      </c>
      <c r="M34" s="13">
        <f>COUNTIFS('Screen Status'!B2:B107,"Fundraising",'Screen Status'!J2:J107,"Passed")</f>
        <v>0</v>
      </c>
      <c r="N34" s="13">
        <f>COUNTIFS('Screen Status'!B2:B107,"Fundraising",'Screen Status'!J2:J107,"Failed")</f>
        <v>0</v>
      </c>
      <c r="O34" s="13">
        <f>COUNTIFS('Screen Status'!B2:B107,"Fundraising",'Screen Status'!J2:J107,"Issues Found")</f>
        <v>0</v>
      </c>
      <c r="P34" s="13">
        <f>COUNTIFS('Screen Status'!B2:B107,"Fundraising",'Screen Status'!J2:J107,"Blocked - Awaiting Fix")</f>
        <v>0</v>
      </c>
      <c r="Q34" s="13">
        <f>COUNTIFS('Screen Status'!B2:B107,"Fundraising",'Screen Status'!J2:J107,"N/A (Upcoming)")</f>
        <v>1</v>
      </c>
    </row>
    <row r="35" spans="1:17" x14ac:dyDescent="0.3">
      <c r="A35" s="12" t="s">
        <v>25</v>
      </c>
      <c r="B35" s="13">
        <f>COUNTIFS('Screen Status'!B2:B107,"Grants",'Screen Status'!H2:H107,"Not Started")</f>
        <v>0</v>
      </c>
      <c r="C35" s="13">
        <f>COUNTIFS('Screen Status'!B2:B107,"Grants",'Screen Status'!H2:H107,"Pending")</f>
        <v>2</v>
      </c>
      <c r="D35" s="13">
        <f>COUNTIFS('Screen Status'!B2:B107,"Grants",'Screen Status'!H2:H107,"In Testing")</f>
        <v>0</v>
      </c>
      <c r="E35" s="13">
        <f>COUNTIFS('Screen Status'!B2:B107,"Grants",'Screen Status'!H2:H107,"Passed")</f>
        <v>0</v>
      </c>
      <c r="F35" s="13">
        <f>COUNTIFS('Screen Status'!B2:B107,"Grants",'Screen Status'!H2:H107,"Failed")</f>
        <v>0</v>
      </c>
      <c r="G35" s="13">
        <f>COUNTIFS('Screen Status'!B2:B107,"Grants",'Screen Status'!H2:H107,"Issues Found")</f>
        <v>0</v>
      </c>
      <c r="H35" s="13">
        <f>COUNTIFS('Screen Status'!B2:B107,"Grants",'Screen Status'!H2:H107,"Blocked - Awaiting Fix")</f>
        <v>0</v>
      </c>
      <c r="I35" s="13">
        <f>COUNTIFS('Screen Status'!B2:B107,"Grants",'Screen Status'!H2:H107,"N/A (Upcoming)")</f>
        <v>1</v>
      </c>
      <c r="J35" s="13">
        <f>COUNTIFS('Screen Status'!B2:B107,"Grants",'Screen Status'!J2:J107,"Not Started")</f>
        <v>2</v>
      </c>
      <c r="K35" s="13">
        <f>COUNTIFS('Screen Status'!B2:B107,"Grants",'Screen Status'!J2:J107,"Pending")</f>
        <v>0</v>
      </c>
      <c r="L35" s="13">
        <f>COUNTIFS('Screen Status'!B2:B107,"Grants",'Screen Status'!J2:J107,"In Testing")</f>
        <v>0</v>
      </c>
      <c r="M35" s="13">
        <f>COUNTIFS('Screen Status'!B2:B107,"Grants",'Screen Status'!J2:J107,"Passed")</f>
        <v>0</v>
      </c>
      <c r="N35" s="13">
        <f>COUNTIFS('Screen Status'!B2:B107,"Grants",'Screen Status'!J2:J107,"Failed")</f>
        <v>0</v>
      </c>
      <c r="O35" s="13">
        <f>COUNTIFS('Screen Status'!B2:B107,"Grants",'Screen Status'!J2:J107,"Issues Found")</f>
        <v>0</v>
      </c>
      <c r="P35" s="13">
        <f>COUNTIFS('Screen Status'!B2:B107,"Grants",'Screen Status'!J2:J107,"Blocked - Awaiting Fix")</f>
        <v>0</v>
      </c>
      <c r="Q35" s="13">
        <f>COUNTIFS('Screen Status'!B2:B107,"Grants",'Screen Status'!J2:J107,"N/A (Upcoming)")</f>
        <v>1</v>
      </c>
    </row>
    <row r="36" spans="1:17" x14ac:dyDescent="0.3">
      <c r="A36" s="12" t="s">
        <v>26</v>
      </c>
      <c r="B36" s="13">
        <f>COUNTIFS('Screen Status'!B2:B107,"Membership",'Screen Status'!H2:H107,"Not Started")</f>
        <v>0</v>
      </c>
      <c r="C36" s="13">
        <f>COUNTIFS('Screen Status'!B2:B107,"Membership",'Screen Status'!H2:H107,"Pending")</f>
        <v>3</v>
      </c>
      <c r="D36" s="13">
        <f>COUNTIFS('Screen Status'!B2:B107,"Membership",'Screen Status'!H2:H107,"In Testing")</f>
        <v>0</v>
      </c>
      <c r="E36" s="13">
        <f>COUNTIFS('Screen Status'!B2:B107,"Membership",'Screen Status'!H2:H107,"Passed")</f>
        <v>0</v>
      </c>
      <c r="F36" s="13">
        <f>COUNTIFS('Screen Status'!B2:B107,"Membership",'Screen Status'!H2:H107,"Failed")</f>
        <v>0</v>
      </c>
      <c r="G36" s="13">
        <f>COUNTIFS('Screen Status'!B2:B107,"Membership",'Screen Status'!H2:H107,"Issues Found")</f>
        <v>0</v>
      </c>
      <c r="H36" s="13">
        <f>COUNTIFS('Screen Status'!B2:B107,"Membership",'Screen Status'!H2:H107,"Blocked - Awaiting Fix")</f>
        <v>0</v>
      </c>
      <c r="I36" s="13">
        <f>COUNTIFS('Screen Status'!B2:B107,"Membership",'Screen Status'!H2:H107,"N/A (Upcoming)")</f>
        <v>1</v>
      </c>
      <c r="J36" s="13">
        <f>COUNTIFS('Screen Status'!B2:B107,"Membership",'Screen Status'!J2:J107,"Not Started")</f>
        <v>3</v>
      </c>
      <c r="K36" s="13">
        <f>COUNTIFS('Screen Status'!B2:B107,"Membership",'Screen Status'!J2:J107,"Pending")</f>
        <v>0</v>
      </c>
      <c r="L36" s="13">
        <f>COUNTIFS('Screen Status'!B2:B107,"Membership",'Screen Status'!J2:J107,"In Testing")</f>
        <v>0</v>
      </c>
      <c r="M36" s="13">
        <f>COUNTIFS('Screen Status'!B2:B107,"Membership",'Screen Status'!J2:J107,"Passed")</f>
        <v>0</v>
      </c>
      <c r="N36" s="13">
        <f>COUNTIFS('Screen Status'!B2:B107,"Membership",'Screen Status'!J2:J107,"Failed")</f>
        <v>0</v>
      </c>
      <c r="O36" s="13">
        <f>COUNTIFS('Screen Status'!B2:B107,"Membership",'Screen Status'!J2:J107,"Issues Found")</f>
        <v>0</v>
      </c>
      <c r="P36" s="13">
        <f>COUNTIFS('Screen Status'!B2:B107,"Membership",'Screen Status'!J2:J107,"Blocked - Awaiting Fix")</f>
        <v>0</v>
      </c>
      <c r="Q36" s="13">
        <f>COUNTIFS('Screen Status'!B2:B107,"Membership",'Screen Status'!J2:J107,"N/A (Upcoming)")</f>
        <v>1</v>
      </c>
    </row>
    <row r="37" spans="1:17" x14ac:dyDescent="0.3">
      <c r="A37" s="12" t="s">
        <v>27</v>
      </c>
      <c r="B37" s="13">
        <f>COUNTIFS('Screen Status'!B2:B107,"Mobile",'Screen Status'!H2:H107,"Not Started")</f>
        <v>0</v>
      </c>
      <c r="C37" s="13">
        <f>COUNTIFS('Screen Status'!B2:B107,"Mobile",'Screen Status'!H2:H107,"Pending")</f>
        <v>0</v>
      </c>
      <c r="D37" s="13">
        <f>COUNTIFS('Screen Status'!B2:B107,"Mobile",'Screen Status'!H2:H107,"In Testing")</f>
        <v>0</v>
      </c>
      <c r="E37" s="13">
        <f>COUNTIFS('Screen Status'!B2:B107,"Mobile",'Screen Status'!H2:H107,"Passed")</f>
        <v>0</v>
      </c>
      <c r="F37" s="13">
        <f>COUNTIFS('Screen Status'!B2:B107,"Mobile",'Screen Status'!H2:H107,"Failed")</f>
        <v>0</v>
      </c>
      <c r="G37" s="13">
        <f>COUNTIFS('Screen Status'!B2:B107,"Mobile",'Screen Status'!H2:H107,"Issues Found")</f>
        <v>0</v>
      </c>
      <c r="H37" s="13">
        <f>COUNTIFS('Screen Status'!B2:B107,"Mobile",'Screen Status'!H2:H107,"Blocked - Awaiting Fix")</f>
        <v>0</v>
      </c>
      <c r="I37" s="13">
        <f>COUNTIFS('Screen Status'!B2:B107,"Mobile",'Screen Status'!H2:H107,"N/A (Upcoming)")</f>
        <v>1</v>
      </c>
      <c r="J37" s="13">
        <f>COUNTIFS('Screen Status'!B2:B107,"Mobile",'Screen Status'!J2:J107,"Not Started")</f>
        <v>0</v>
      </c>
      <c r="K37" s="13">
        <f>COUNTIFS('Screen Status'!B2:B107,"Mobile",'Screen Status'!J2:J107,"Pending")</f>
        <v>0</v>
      </c>
      <c r="L37" s="13">
        <f>COUNTIFS('Screen Status'!B2:B107,"Mobile",'Screen Status'!J2:J107,"In Testing")</f>
        <v>0</v>
      </c>
      <c r="M37" s="13">
        <f>COUNTIFS('Screen Status'!B2:B107,"Mobile",'Screen Status'!J2:J107,"Passed")</f>
        <v>0</v>
      </c>
      <c r="N37" s="13">
        <f>COUNTIFS('Screen Status'!B2:B107,"Mobile",'Screen Status'!J2:J107,"Failed")</f>
        <v>0</v>
      </c>
      <c r="O37" s="13">
        <f>COUNTIFS('Screen Status'!B2:B107,"Mobile",'Screen Status'!J2:J107,"Issues Found")</f>
        <v>0</v>
      </c>
      <c r="P37" s="13">
        <f>COUNTIFS('Screen Status'!B2:B107,"Mobile",'Screen Status'!J2:J107,"Blocked - Awaiting Fix")</f>
        <v>0</v>
      </c>
      <c r="Q37" s="13">
        <f>COUNTIFS('Screen Status'!B2:B107,"Mobile",'Screen Status'!J2:J107,"N/A (Upcoming)")</f>
        <v>1</v>
      </c>
    </row>
    <row r="38" spans="1:17" x14ac:dyDescent="0.3">
      <c r="A38" s="12" t="s">
        <v>28</v>
      </c>
      <c r="B38" s="13">
        <f>COUNTIFS('Screen Status'!B2:B107,"Organization",'Screen Status'!H2:H107,"Not Started")</f>
        <v>2</v>
      </c>
      <c r="C38" s="13">
        <f>COUNTIFS('Screen Status'!B2:B107,"Organization",'Screen Status'!H2:H107,"Pending")</f>
        <v>7</v>
      </c>
      <c r="D38" s="13">
        <f>COUNTIFS('Screen Status'!B2:B107,"Organization",'Screen Status'!H2:H107,"In Testing")</f>
        <v>0</v>
      </c>
      <c r="E38" s="13">
        <f>COUNTIFS('Screen Status'!B2:B107,"Organization",'Screen Status'!H2:H107,"Passed")</f>
        <v>0</v>
      </c>
      <c r="F38" s="13">
        <f>COUNTIFS('Screen Status'!B2:B107,"Organization",'Screen Status'!H2:H107,"Failed")</f>
        <v>0</v>
      </c>
      <c r="G38" s="13">
        <f>COUNTIFS('Screen Status'!B2:B107,"Organization",'Screen Status'!H2:H107,"Issues Found")</f>
        <v>0</v>
      </c>
      <c r="H38" s="13">
        <f>COUNTIFS('Screen Status'!B2:B107,"Organization",'Screen Status'!H2:H107,"Blocked - Awaiting Fix")</f>
        <v>0</v>
      </c>
      <c r="I38" s="13">
        <f>COUNTIFS('Screen Status'!B2:B107,"Organization",'Screen Status'!H2:H107,"N/A (Upcoming)")</f>
        <v>1</v>
      </c>
      <c r="J38" s="13">
        <f>COUNTIFS('Screen Status'!B2:B107,"Organization",'Screen Status'!J2:J107,"Not Started")</f>
        <v>9</v>
      </c>
      <c r="K38" s="13">
        <f>COUNTIFS('Screen Status'!B2:B107,"Organization",'Screen Status'!J2:J107,"Pending")</f>
        <v>0</v>
      </c>
      <c r="L38" s="13">
        <f>COUNTIFS('Screen Status'!B2:B107,"Organization",'Screen Status'!J2:J107,"In Testing")</f>
        <v>0</v>
      </c>
      <c r="M38" s="13">
        <f>COUNTIFS('Screen Status'!B2:B107,"Organization",'Screen Status'!J2:J107,"Passed")</f>
        <v>0</v>
      </c>
      <c r="N38" s="13">
        <f>COUNTIFS('Screen Status'!B2:B107,"Organization",'Screen Status'!J2:J107,"Failed")</f>
        <v>0</v>
      </c>
      <c r="O38" s="13">
        <f>COUNTIFS('Screen Status'!B2:B107,"Organization",'Screen Status'!J2:J107,"Issues Found")</f>
        <v>0</v>
      </c>
      <c r="P38" s="13">
        <f>COUNTIFS('Screen Status'!B2:B107,"Organization",'Screen Status'!J2:J107,"Blocked - Awaiting Fix")</f>
        <v>0</v>
      </c>
      <c r="Q38" s="13">
        <f>COUNTIFS('Screen Status'!B2:B107,"Organization",'Screen Status'!J2:J107,"N/A (Upcoming)")</f>
        <v>1</v>
      </c>
    </row>
    <row r="39" spans="1:17" x14ac:dyDescent="0.3">
      <c r="A39" s="12" t="s">
        <v>29</v>
      </c>
      <c r="B39" s="13">
        <f>COUNTIFS('Screen Status'!B2:B107,"Reports",'Screen Status'!H2:H107,"Not Started")</f>
        <v>2</v>
      </c>
      <c r="C39" s="13">
        <f>COUNTIFS('Screen Status'!B2:B107,"Reports",'Screen Status'!H2:H107,"Pending")</f>
        <v>0</v>
      </c>
      <c r="D39" s="13">
        <f>COUNTIFS('Screen Status'!B2:B107,"Reports",'Screen Status'!H2:H107,"In Testing")</f>
        <v>0</v>
      </c>
      <c r="E39" s="13">
        <f>COUNTIFS('Screen Status'!B2:B107,"Reports",'Screen Status'!H2:H107,"Passed")</f>
        <v>0</v>
      </c>
      <c r="F39" s="13">
        <f>COUNTIFS('Screen Status'!B2:B107,"Reports",'Screen Status'!H2:H107,"Failed")</f>
        <v>0</v>
      </c>
      <c r="G39" s="13">
        <f>COUNTIFS('Screen Status'!B2:B107,"Reports",'Screen Status'!H2:H107,"Issues Found")</f>
        <v>0</v>
      </c>
      <c r="H39" s="13">
        <f>COUNTIFS('Screen Status'!B2:B107,"Reports",'Screen Status'!H2:H107,"Blocked - Awaiting Fix")</f>
        <v>0</v>
      </c>
      <c r="I39" s="13">
        <f>COUNTIFS('Screen Status'!B2:B107,"Reports",'Screen Status'!H2:H107,"N/A (Upcoming)")</f>
        <v>4</v>
      </c>
      <c r="J39" s="13">
        <f>COUNTIFS('Screen Status'!B2:B107,"Reports",'Screen Status'!J2:J107,"Not Started")</f>
        <v>2</v>
      </c>
      <c r="K39" s="13">
        <f>COUNTIFS('Screen Status'!B2:B107,"Reports",'Screen Status'!J2:J107,"Pending")</f>
        <v>0</v>
      </c>
      <c r="L39" s="13">
        <f>COUNTIFS('Screen Status'!B2:B107,"Reports",'Screen Status'!J2:J107,"In Testing")</f>
        <v>0</v>
      </c>
      <c r="M39" s="13">
        <f>COUNTIFS('Screen Status'!B2:B107,"Reports",'Screen Status'!J2:J107,"Passed")</f>
        <v>0</v>
      </c>
      <c r="N39" s="13">
        <f>COUNTIFS('Screen Status'!B2:B107,"Reports",'Screen Status'!J2:J107,"Failed")</f>
        <v>0</v>
      </c>
      <c r="O39" s="13">
        <f>COUNTIFS('Screen Status'!B2:B107,"Reports",'Screen Status'!J2:J107,"Issues Found")</f>
        <v>0</v>
      </c>
      <c r="P39" s="13">
        <f>COUNTIFS('Screen Status'!B2:B107,"Reports",'Screen Status'!J2:J107,"Blocked - Awaiting Fix")</f>
        <v>0</v>
      </c>
      <c r="Q39" s="13">
        <f>COUNTIFS('Screen Status'!B2:B107,"Reports",'Screen Status'!J2:J107,"N/A (Upcoming)")</f>
        <v>4</v>
      </c>
    </row>
    <row r="40" spans="1:17" x14ac:dyDescent="0.3">
      <c r="A40" s="12" t="s">
        <v>30</v>
      </c>
      <c r="B40" s="13">
        <f>COUNTIFS('Screen Status'!B2:B107,"Root / Layout",'Screen Status'!H2:H107,"Not Started")</f>
        <v>3</v>
      </c>
      <c r="C40" s="13">
        <f>COUNTIFS('Screen Status'!B2:B107,"Root / Layout",'Screen Status'!H2:H107,"Pending")</f>
        <v>0</v>
      </c>
      <c r="D40" s="13">
        <f>COUNTIFS('Screen Status'!B2:B107,"Root / Layout",'Screen Status'!H2:H107,"In Testing")</f>
        <v>0</v>
      </c>
      <c r="E40" s="13">
        <f>COUNTIFS('Screen Status'!B2:B107,"Root / Layout",'Screen Status'!H2:H107,"Passed")</f>
        <v>0</v>
      </c>
      <c r="F40" s="13">
        <f>COUNTIFS('Screen Status'!B2:B107,"Root / Layout",'Screen Status'!H2:H107,"Failed")</f>
        <v>0</v>
      </c>
      <c r="G40" s="13">
        <f>COUNTIFS('Screen Status'!B2:B107,"Root / Layout",'Screen Status'!H2:H107,"Issues Found")</f>
        <v>0</v>
      </c>
      <c r="H40" s="13">
        <f>COUNTIFS('Screen Status'!B2:B107,"Root / Layout",'Screen Status'!H2:H107,"Blocked - Awaiting Fix")</f>
        <v>0</v>
      </c>
      <c r="I40" s="13">
        <f>COUNTIFS('Screen Status'!B2:B107,"Root / Layout",'Screen Status'!H2:H107,"N/A (Upcoming)")</f>
        <v>0</v>
      </c>
      <c r="J40" s="13">
        <f>COUNTIFS('Screen Status'!B2:B107,"Root / Layout",'Screen Status'!J2:J107,"Not Started")</f>
        <v>3</v>
      </c>
      <c r="K40" s="13">
        <f>COUNTIFS('Screen Status'!B2:B107,"Root / Layout",'Screen Status'!J2:J107,"Pending")</f>
        <v>0</v>
      </c>
      <c r="L40" s="13">
        <f>COUNTIFS('Screen Status'!B2:B107,"Root / Layout",'Screen Status'!J2:J107,"In Testing")</f>
        <v>0</v>
      </c>
      <c r="M40" s="13">
        <f>COUNTIFS('Screen Status'!B2:B107,"Root / Layout",'Screen Status'!J2:J107,"Passed")</f>
        <v>0</v>
      </c>
      <c r="N40" s="13">
        <f>COUNTIFS('Screen Status'!B2:B107,"Root / Layout",'Screen Status'!J2:J107,"Failed")</f>
        <v>0</v>
      </c>
      <c r="O40" s="13">
        <f>COUNTIFS('Screen Status'!B2:B107,"Root / Layout",'Screen Status'!J2:J107,"Issues Found")</f>
        <v>0</v>
      </c>
      <c r="P40" s="13">
        <f>COUNTIFS('Screen Status'!B2:B107,"Root / Layout",'Screen Status'!J2:J107,"Blocked - Awaiting Fix")</f>
        <v>0</v>
      </c>
      <c r="Q40" s="13">
        <f>COUNTIFS('Screen Status'!B2:B107,"Root / Layout",'Screen Status'!J2:J107,"N/A (Upcoming)")</f>
        <v>0</v>
      </c>
    </row>
    <row r="41" spans="1:17" x14ac:dyDescent="0.3">
      <c r="A41" s="12" t="s">
        <v>31</v>
      </c>
      <c r="B41" s="13">
        <f>COUNTIFS('Screen Status'!B2:B107,"Settings",'Screen Status'!H2:H107,"Not Started")</f>
        <v>10</v>
      </c>
      <c r="C41" s="13">
        <f>COUNTIFS('Screen Status'!B2:B107,"Settings",'Screen Status'!H2:H107,"Pending")</f>
        <v>0</v>
      </c>
      <c r="D41" s="13">
        <f>COUNTIFS('Screen Status'!B2:B107,"Settings",'Screen Status'!H2:H107,"In Testing")</f>
        <v>0</v>
      </c>
      <c r="E41" s="13">
        <f>COUNTIFS('Screen Status'!B2:B107,"Settings",'Screen Status'!H2:H107,"Passed")</f>
        <v>0</v>
      </c>
      <c r="F41" s="13">
        <f>COUNTIFS('Screen Status'!B2:B107,"Settings",'Screen Status'!H2:H107,"Failed")</f>
        <v>0</v>
      </c>
      <c r="G41" s="13">
        <f>COUNTIFS('Screen Status'!B2:B107,"Settings",'Screen Status'!H2:H107,"Issues Found")</f>
        <v>0</v>
      </c>
      <c r="H41" s="13">
        <f>COUNTIFS('Screen Status'!B2:B107,"Settings",'Screen Status'!H2:H107,"Blocked - Awaiting Fix")</f>
        <v>0</v>
      </c>
      <c r="I41" s="13">
        <f>COUNTIFS('Screen Status'!B2:B107,"Settings",'Screen Status'!H2:H107,"N/A (Upcoming)")</f>
        <v>4</v>
      </c>
      <c r="J41" s="13">
        <f>COUNTIFS('Screen Status'!B2:B107,"Settings",'Screen Status'!J2:J107,"Not Started")</f>
        <v>10</v>
      </c>
      <c r="K41" s="13">
        <f>COUNTIFS('Screen Status'!B2:B107,"Settings",'Screen Status'!J2:J107,"Pending")</f>
        <v>0</v>
      </c>
      <c r="L41" s="13">
        <f>COUNTIFS('Screen Status'!B2:B107,"Settings",'Screen Status'!J2:J107,"In Testing")</f>
        <v>0</v>
      </c>
      <c r="M41" s="13">
        <f>COUNTIFS('Screen Status'!B2:B107,"Settings",'Screen Status'!J2:J107,"Passed")</f>
        <v>0</v>
      </c>
      <c r="N41" s="13">
        <f>COUNTIFS('Screen Status'!B2:B107,"Settings",'Screen Status'!J2:J107,"Failed")</f>
        <v>0</v>
      </c>
      <c r="O41" s="13">
        <f>COUNTIFS('Screen Status'!B2:B107,"Settings",'Screen Status'!J2:J107,"Issues Found")</f>
        <v>0</v>
      </c>
      <c r="P41" s="13">
        <f>COUNTIFS('Screen Status'!B2:B107,"Settings",'Screen Status'!J2:J107,"Blocked - Awaiting Fix")</f>
        <v>0</v>
      </c>
      <c r="Q41" s="13">
        <f>COUNTIFS('Screen Status'!B2:B107,"Settings",'Screen Status'!J2:J107,"N/A (Upcoming)")</f>
        <v>4</v>
      </c>
    </row>
    <row r="42" spans="1:17" x14ac:dyDescent="0.3">
      <c r="A42" s="12" t="s">
        <v>32</v>
      </c>
      <c r="B42" s="13">
        <f>COUNTIFS('Screen Status'!B2:B107,"Volunteer",'Screen Status'!H2:H107,"Not Started")</f>
        <v>0</v>
      </c>
      <c r="C42" s="13">
        <f>COUNTIFS('Screen Status'!B2:B107,"Volunteer",'Screen Status'!H2:H107,"Pending")</f>
        <v>3</v>
      </c>
      <c r="D42" s="13">
        <f>COUNTIFS('Screen Status'!B2:B107,"Volunteer",'Screen Status'!H2:H107,"In Testing")</f>
        <v>0</v>
      </c>
      <c r="E42" s="13">
        <f>COUNTIFS('Screen Status'!B2:B107,"Volunteer",'Screen Status'!H2:H107,"Passed")</f>
        <v>0</v>
      </c>
      <c r="F42" s="13">
        <f>COUNTIFS('Screen Status'!B2:B107,"Volunteer",'Screen Status'!H2:H107,"Failed")</f>
        <v>0</v>
      </c>
      <c r="G42" s="13">
        <f>COUNTIFS('Screen Status'!B2:B107,"Volunteer",'Screen Status'!H2:H107,"Issues Found")</f>
        <v>0</v>
      </c>
      <c r="H42" s="13">
        <f>COUNTIFS('Screen Status'!B2:B107,"Volunteer",'Screen Status'!H2:H107,"Blocked - Awaiting Fix")</f>
        <v>0</v>
      </c>
      <c r="I42" s="13">
        <f>COUNTIFS('Screen Status'!B2:B107,"Volunteer",'Screen Status'!H2:H107,"N/A (Upcoming)")</f>
        <v>2</v>
      </c>
      <c r="J42" s="13">
        <f>COUNTIFS('Screen Status'!B2:B107,"Volunteer",'Screen Status'!J2:J107,"Not Started")</f>
        <v>3</v>
      </c>
      <c r="K42" s="13">
        <f>COUNTIFS('Screen Status'!B2:B107,"Volunteer",'Screen Status'!J2:J107,"Pending")</f>
        <v>0</v>
      </c>
      <c r="L42" s="13">
        <f>COUNTIFS('Screen Status'!B2:B107,"Volunteer",'Screen Status'!J2:J107,"In Testing")</f>
        <v>0</v>
      </c>
      <c r="M42" s="13">
        <f>COUNTIFS('Screen Status'!B2:B107,"Volunteer",'Screen Status'!J2:J107,"Passed")</f>
        <v>0</v>
      </c>
      <c r="N42" s="13">
        <f>COUNTIFS('Screen Status'!B2:B107,"Volunteer",'Screen Status'!J2:J107,"Failed")</f>
        <v>0</v>
      </c>
      <c r="O42" s="13">
        <f>COUNTIFS('Screen Status'!B2:B107,"Volunteer",'Screen Status'!J2:J107,"Issues Found")</f>
        <v>0</v>
      </c>
      <c r="P42" s="13">
        <f>COUNTIFS('Screen Status'!B2:B107,"Volunteer",'Screen Status'!J2:J107,"Blocked - Awaiting Fix")</f>
        <v>0</v>
      </c>
      <c r="Q42" s="13">
        <f>COUNTIFS('Screen Status'!B2:B107,"Volunteer",'Screen Status'!J2:J107,"N/A (Upcoming)")</f>
        <v>2</v>
      </c>
    </row>
    <row r="43" spans="1:17" x14ac:dyDescent="0.3">
      <c r="A43" s="15" t="s">
        <v>2</v>
      </c>
      <c r="B43" s="14">
        <f>COUNTIF('Screen Status'!H2:H107,"Not Started")</f>
        <v>38</v>
      </c>
      <c r="C43" s="14">
        <f>COUNTIF('Screen Status'!H2:H107,"Pending")</f>
        <v>46</v>
      </c>
      <c r="D43" s="14">
        <f>COUNTIF('Screen Status'!H2:H107,"In Testing")</f>
        <v>0</v>
      </c>
      <c r="E43" s="14">
        <f>COUNTIF('Screen Status'!H2:H107,"Passed")</f>
        <v>0</v>
      </c>
      <c r="F43" s="14">
        <f>COUNTIF('Screen Status'!H2:H107,"Failed")</f>
        <v>0</v>
      </c>
      <c r="G43" s="14">
        <f>COUNTIF('Screen Status'!H2:H107,"Issues Found")</f>
        <v>0</v>
      </c>
      <c r="H43" s="14">
        <f>COUNTIF('Screen Status'!H2:H107,"Blocked - Awaiting Fix")</f>
        <v>1</v>
      </c>
      <c r="I43" s="14">
        <f>COUNTIF('Screen Status'!H2:H107,"N/A (Upcoming)")</f>
        <v>21</v>
      </c>
      <c r="J43" s="14">
        <f>COUNTIF('Screen Status'!J2:J107,"Not Started")</f>
        <v>85</v>
      </c>
      <c r="K43" s="14">
        <f>COUNTIF('Screen Status'!J2:J107,"Pending")</f>
        <v>0</v>
      </c>
      <c r="L43" s="14">
        <f>COUNTIF('Screen Status'!J2:J107,"In Testing")</f>
        <v>0</v>
      </c>
      <c r="M43" s="14">
        <f>COUNTIF('Screen Status'!J2:J107,"Passed")</f>
        <v>0</v>
      </c>
      <c r="N43" s="14">
        <f>COUNTIF('Screen Status'!J2:J107,"Failed")</f>
        <v>0</v>
      </c>
      <c r="O43" s="14">
        <f>COUNTIF('Screen Status'!J2:J107,"Issues Found")</f>
        <v>0</v>
      </c>
      <c r="P43" s="14">
        <f>COUNTIF('Screen Status'!J2:J107,"Blocked - Awaiting Fix")</f>
        <v>0</v>
      </c>
      <c r="Q43" s="14">
        <f>COUNTIF('Screen Status'!J2:J107,"N/A (Upcoming)")</f>
        <v>21</v>
      </c>
    </row>
    <row r="45" spans="1:17" ht="25.95" customHeight="1" x14ac:dyDescent="0.3">
      <c r="A45" s="28" t="s">
        <v>50</v>
      </c>
      <c r="B45" s="29"/>
      <c r="C45" s="29"/>
      <c r="D45" s="29"/>
      <c r="E45" s="29"/>
    </row>
    <row r="46" spans="1:17" ht="37.950000000000003" customHeight="1" x14ac:dyDescent="0.3">
      <c r="A46" s="11" t="s">
        <v>51</v>
      </c>
      <c r="B46" s="11" t="s">
        <v>3</v>
      </c>
      <c r="C46" s="11" t="s">
        <v>14</v>
      </c>
      <c r="D46" s="11" t="s">
        <v>52</v>
      </c>
      <c r="E46" s="11" t="s">
        <v>2</v>
      </c>
    </row>
    <row r="47" spans="1:17" x14ac:dyDescent="0.3">
      <c r="A47" s="16" t="s">
        <v>53</v>
      </c>
      <c r="B47" s="13">
        <f>COUNTIFS('Screen Status'!E2:E107,"High",'Screen Status'!F2:F107,"Completed")</f>
        <v>13</v>
      </c>
      <c r="C47" s="13">
        <f>COUNTIFS('Screen Status'!E2:E107,"High",'Screen Status'!F2:F107,"In Progress (Partial)")</f>
        <v>2</v>
      </c>
      <c r="D47" s="13">
        <f>COUNTIF('Screen Status'!E2:E107,"High")-COUNTIFS('Screen Status'!E2:E107,"High",'Screen Status'!F2:F107,"Completed")-COUNTIFS('Screen Status'!E2:E107,"High",'Screen Status'!F2:F107,"In Progress (Partial)")</f>
        <v>1</v>
      </c>
      <c r="E47" s="14">
        <f>COUNTIF('Screen Status'!E2:E107,"High")</f>
        <v>16</v>
      </c>
    </row>
    <row r="48" spans="1:17" x14ac:dyDescent="0.3">
      <c r="A48" s="16" t="s">
        <v>54</v>
      </c>
      <c r="B48" s="13">
        <f>COUNTIFS('Screen Status'!E2:E107,"Medium",'Screen Status'!F2:F107,"Completed")</f>
        <v>33</v>
      </c>
      <c r="C48" s="13">
        <f>COUNTIFS('Screen Status'!E2:E107,"Medium",'Screen Status'!F2:F107,"In Progress (Partial)")</f>
        <v>16</v>
      </c>
      <c r="D48" s="13">
        <f>COUNTIF('Screen Status'!E2:E107,"Medium")-COUNTIFS('Screen Status'!E2:E107,"Medium",'Screen Status'!F2:F107,"Completed")-COUNTIFS('Screen Status'!E2:E107,"Medium",'Screen Status'!F2:F107,"In Progress (Partial)")</f>
        <v>16</v>
      </c>
      <c r="E48" s="14">
        <f>COUNTIF('Screen Status'!E2:E107,"Medium")</f>
        <v>65</v>
      </c>
    </row>
    <row r="49" spans="1:11" x14ac:dyDescent="0.3">
      <c r="A49" s="16" t="s">
        <v>55</v>
      </c>
      <c r="B49" s="13">
        <f>COUNTIFS('Screen Status'!E2:E107,"Low",'Screen Status'!F2:F107,"Completed")</f>
        <v>0</v>
      </c>
      <c r="C49" s="13">
        <f>COUNTIFS('Screen Status'!E2:E107,"Low",'Screen Status'!F2:F107,"In Progress (Partial)")</f>
        <v>1</v>
      </c>
      <c r="D49" s="13">
        <f>COUNTIF('Screen Status'!E2:E107,"Low")-COUNTIFS('Screen Status'!E2:E107,"Low",'Screen Status'!F2:F107,"Completed")-COUNTIFS('Screen Status'!E2:E107,"Low",'Screen Status'!F2:F107,"In Progress (Partial)")</f>
        <v>24</v>
      </c>
      <c r="E49" s="14">
        <f>COUNTIF('Screen Status'!E2:E107,"Low")</f>
        <v>25</v>
      </c>
    </row>
    <row r="51" spans="1:11" ht="25.95" customHeight="1" x14ac:dyDescent="0.3">
      <c r="A51" s="28" t="s">
        <v>56</v>
      </c>
      <c r="B51" s="29"/>
      <c r="C51" s="29"/>
      <c r="D51" s="29"/>
      <c r="E51" s="29"/>
      <c r="F51" s="29"/>
      <c r="G51" s="29"/>
      <c r="H51" s="29"/>
      <c r="I51" s="29"/>
      <c r="J51" s="29"/>
      <c r="K51" s="29"/>
    </row>
    <row r="52" spans="1:11" ht="42" customHeight="1" x14ac:dyDescent="0.3">
      <c r="A52" s="11" t="s">
        <v>57</v>
      </c>
      <c r="B52" s="11" t="s">
        <v>58</v>
      </c>
      <c r="C52" s="11" t="s">
        <v>37</v>
      </c>
      <c r="D52" s="11" t="s">
        <v>38</v>
      </c>
      <c r="E52" s="11" t="s">
        <v>59</v>
      </c>
      <c r="F52" s="11" t="s">
        <v>35</v>
      </c>
      <c r="G52" s="11" t="s">
        <v>45</v>
      </c>
      <c r="H52" s="11" t="s">
        <v>46</v>
      </c>
      <c r="I52" s="11" t="s">
        <v>60</v>
      </c>
      <c r="J52" s="11" t="s">
        <v>43</v>
      </c>
      <c r="K52" s="11" t="s">
        <v>61</v>
      </c>
    </row>
    <row r="53" spans="1:11" x14ac:dyDescent="0.3">
      <c r="A53" s="16" t="s">
        <v>62</v>
      </c>
      <c r="B53" s="13">
        <f>COUNTIFS('Screen Status'!G2:G107,"Karthick",'Screen Status'!F2:F107,"Completed")+COUNTIFS('Screen Status'!G2:G107,"Karthick",'Screen Status'!F2:F107,"Completed - Needs Fix")</f>
        <v>47</v>
      </c>
      <c r="C53" s="13">
        <f>COUNTIFS('Screen Status'!I2:I107,"Karthick",'Screen Status'!H2:H107,"Passed")</f>
        <v>0</v>
      </c>
      <c r="D53" s="13">
        <f>COUNTIFS('Screen Status'!I2:I107,"Karthick",'Screen Status'!H2:H107,"Failed")</f>
        <v>0</v>
      </c>
      <c r="E53" s="13">
        <f>COUNTIFS('Screen Status'!I2:I107,"Karthick",'Screen Status'!H2:H107,"Issues Found")</f>
        <v>0</v>
      </c>
      <c r="F53" s="13">
        <f>COUNTIFS('Screen Status'!I2:I107,"Karthick",'Screen Status'!H2:H107,"Pending")+COUNTIFS('Screen Status'!I2:I107,"Karthick",'Screen Status'!H2:H107,"Not Started")+COUNTIFS('Screen Status'!I2:I107,"Karthick",'Screen Status'!H2:H107,"In Testing")+COUNTIFS('Screen Status'!I2:I107,"Karthick",'Screen Status'!H2:H107,"Blocked - Awaiting Fix")</f>
        <v>16</v>
      </c>
      <c r="G53" s="13">
        <f>COUNTIFS('Screen Status'!K2:K107,"Karthick",'Screen Status'!J2:J107,"Passed")</f>
        <v>0</v>
      </c>
      <c r="H53" s="13">
        <f>COUNTIFS('Screen Status'!K2:K107,"Karthick",'Screen Status'!J2:J107,"Failed")</f>
        <v>0</v>
      </c>
      <c r="I53" s="13">
        <f>COUNTIFS('Screen Status'!K2:K107,"Karthick",'Screen Status'!J2:J107,"Issues Found")</f>
        <v>0</v>
      </c>
      <c r="J53" s="13">
        <f>COUNTIFS('Screen Status'!K2:K107,"Karthick",'Screen Status'!J2:J107,"Pending")+COUNTIFS('Screen Status'!K2:K107,"Karthick",'Screen Status'!J2:J107,"Not Started")+COUNTIFS('Screen Status'!K2:K107,"Karthick",'Screen Status'!J2:J107,"In Testing")+COUNTIFS('Screen Status'!K2:K107,"Karthick",'Screen Status'!J2:J107,"Blocked - Awaiting Fix")</f>
        <v>0</v>
      </c>
      <c r="K53" s="14">
        <f>SUM(B53:J53)</f>
        <v>63</v>
      </c>
    </row>
    <row r="54" spans="1:11" x14ac:dyDescent="0.3">
      <c r="A54" s="16" t="s">
        <v>63</v>
      </c>
      <c r="B54" s="13">
        <f>COUNTIFS('Screen Status'!G2:G107,"Saranya",'Screen Status'!F2:F107,"Completed")+COUNTIFS('Screen Status'!G2:G107,"Saranya",'Screen Status'!F2:F107,"Completed - Needs Fix")</f>
        <v>0</v>
      </c>
      <c r="C54" s="13">
        <f>COUNTIFS('Screen Status'!I2:I107,"Saranya",'Screen Status'!H2:H107,"Passed")</f>
        <v>0</v>
      </c>
      <c r="D54" s="13">
        <f>COUNTIFS('Screen Status'!I2:I107,"Saranya",'Screen Status'!H2:H107,"Failed")</f>
        <v>0</v>
      </c>
      <c r="E54" s="13">
        <f>COUNTIFS('Screen Status'!I2:I107,"Saranya",'Screen Status'!H2:H107,"Issues Found")</f>
        <v>0</v>
      </c>
      <c r="F54" s="13">
        <f>COUNTIFS('Screen Status'!I2:I107,"Saranya",'Screen Status'!H2:H107,"Pending")+COUNTIFS('Screen Status'!I2:I107,"Saranya",'Screen Status'!H2:H107,"Not Started")+COUNTIFS('Screen Status'!I2:I107,"Saranya",'Screen Status'!H2:H107,"In Testing")+COUNTIFS('Screen Status'!I2:I107,"Saranya",'Screen Status'!H2:H107,"Blocked - Awaiting Fix")</f>
        <v>17</v>
      </c>
      <c r="G54" s="13">
        <f>COUNTIFS('Screen Status'!K2:K107,"Saranya",'Screen Status'!J2:J107,"Passed")</f>
        <v>0</v>
      </c>
      <c r="H54" s="13">
        <f>COUNTIFS('Screen Status'!K2:K107,"Saranya",'Screen Status'!J2:J107,"Failed")</f>
        <v>0</v>
      </c>
      <c r="I54" s="13">
        <f>COUNTIFS('Screen Status'!K2:K107,"Saranya",'Screen Status'!J2:J107,"Issues Found")</f>
        <v>0</v>
      </c>
      <c r="J54" s="13">
        <f>COUNTIFS('Screen Status'!K2:K107,"Saranya",'Screen Status'!J2:J107,"Pending")+COUNTIFS('Screen Status'!K2:K107,"Saranya",'Screen Status'!J2:J107,"Not Started")+COUNTIFS('Screen Status'!K2:K107,"Saranya",'Screen Status'!J2:J107,"In Testing")+COUNTIFS('Screen Status'!K2:K107,"Saranya",'Screen Status'!J2:J107,"Blocked - Awaiting Fix")</f>
        <v>0</v>
      </c>
      <c r="K54" s="14">
        <f>SUM(B54:J54)</f>
        <v>17</v>
      </c>
    </row>
    <row r="55" spans="1:11" x14ac:dyDescent="0.3">
      <c r="A55" s="16" t="s">
        <v>64</v>
      </c>
      <c r="B55" s="13">
        <f>COUNTIFS('Screen Status'!G2:G107,"Kavin",'Screen Status'!F2:F107,"Completed")+COUNTIFS('Screen Status'!G2:G107,"Kavin",'Screen Status'!F2:F107,"Completed - Needs Fix")</f>
        <v>0</v>
      </c>
      <c r="C55" s="13">
        <f>COUNTIFS('Screen Status'!I2:I107,"Kavin",'Screen Status'!H2:H107,"Passed")</f>
        <v>0</v>
      </c>
      <c r="D55" s="13">
        <f>COUNTIFS('Screen Status'!I2:I107,"Kavin",'Screen Status'!H2:H107,"Failed")</f>
        <v>0</v>
      </c>
      <c r="E55" s="13">
        <f>COUNTIFS('Screen Status'!I2:I107,"Kavin",'Screen Status'!H2:H107,"Issues Found")</f>
        <v>0</v>
      </c>
      <c r="F55" s="13">
        <f>COUNTIFS('Screen Status'!I2:I107,"Kavin",'Screen Status'!H2:H107,"Pending")+COUNTIFS('Screen Status'!I2:I107,"Kavin",'Screen Status'!H2:H107,"Not Started")+COUNTIFS('Screen Status'!I2:I107,"Kavin",'Screen Status'!H2:H107,"In Testing")+COUNTIFS('Screen Status'!I2:I107,"Kavin",'Screen Status'!H2:H107,"Blocked - Awaiting Fix")</f>
        <v>18</v>
      </c>
      <c r="G55" s="13">
        <f>COUNTIFS('Screen Status'!K2:K107,"Kavin",'Screen Status'!J2:J107,"Passed")</f>
        <v>0</v>
      </c>
      <c r="H55" s="13">
        <f>COUNTIFS('Screen Status'!K2:K107,"Kavin",'Screen Status'!J2:J107,"Failed")</f>
        <v>0</v>
      </c>
      <c r="I55" s="13">
        <f>COUNTIFS('Screen Status'!K2:K107,"Kavin",'Screen Status'!J2:J107,"Issues Found")</f>
        <v>0</v>
      </c>
      <c r="J55" s="13">
        <f>COUNTIFS('Screen Status'!K2:K107,"Kavin",'Screen Status'!J2:J107,"Pending")+COUNTIFS('Screen Status'!K2:K107,"Kavin",'Screen Status'!J2:J107,"Not Started")+COUNTIFS('Screen Status'!K2:K107,"Kavin",'Screen Status'!J2:J107,"In Testing")+COUNTIFS('Screen Status'!K2:K107,"Kavin",'Screen Status'!J2:J107,"Blocked - Awaiting Fix")</f>
        <v>0</v>
      </c>
      <c r="K55" s="14">
        <f>SUM(B55:J55)</f>
        <v>18</v>
      </c>
    </row>
    <row r="56" spans="1:11" x14ac:dyDescent="0.3">
      <c r="A56" s="16" t="s">
        <v>65</v>
      </c>
      <c r="B56" s="13">
        <f>COUNTIFS('Screen Status'!G2:G107,"Sangeetha",'Screen Status'!F2:F107,"Completed")+COUNTIFS('Screen Status'!G2:G107,"Sangeetha",'Screen Status'!F2:F107,"Completed - Needs Fix")</f>
        <v>0</v>
      </c>
      <c r="C56" s="13">
        <f>COUNTIFS('Screen Status'!I2:I107,"Sangeetha",'Screen Status'!H2:H107,"Passed")</f>
        <v>0</v>
      </c>
      <c r="D56" s="13">
        <f>COUNTIFS('Screen Status'!I2:I107,"Sangeetha",'Screen Status'!H2:H107,"Failed")</f>
        <v>0</v>
      </c>
      <c r="E56" s="13">
        <f>COUNTIFS('Screen Status'!I2:I107,"Sangeetha",'Screen Status'!H2:H107,"Issues Found")</f>
        <v>0</v>
      </c>
      <c r="F56" s="13">
        <f>COUNTIFS('Screen Status'!I2:I107,"Sangeetha",'Screen Status'!H2:H107,"Pending")+COUNTIFS('Screen Status'!I2:I107,"Sangeetha",'Screen Status'!H2:H107,"Not Started")+COUNTIFS('Screen Status'!I2:I107,"Sangeetha",'Screen Status'!H2:H107,"In Testing")+COUNTIFS('Screen Status'!I2:I107,"Sangeetha",'Screen Status'!H2:H107,"Blocked - Awaiting Fix")</f>
        <v>0</v>
      </c>
      <c r="G56" s="13">
        <f>COUNTIFS('Screen Status'!K2:K107,"Sangeetha",'Screen Status'!J2:J107,"Passed")</f>
        <v>0</v>
      </c>
      <c r="H56" s="13">
        <f>COUNTIFS('Screen Status'!K2:K107,"Sangeetha",'Screen Status'!J2:J107,"Failed")</f>
        <v>0</v>
      </c>
      <c r="I56" s="13">
        <f>COUNTIFS('Screen Status'!K2:K107,"Sangeetha",'Screen Status'!J2:J107,"Issues Found")</f>
        <v>0</v>
      </c>
      <c r="J56" s="13">
        <f>COUNTIFS('Screen Status'!K2:K107,"Sangeetha",'Screen Status'!J2:J107,"Pending")+COUNTIFS('Screen Status'!K2:K107,"Sangeetha",'Screen Status'!J2:J107,"Not Started")+COUNTIFS('Screen Status'!K2:K107,"Sangeetha",'Screen Status'!J2:J107,"In Testing")+COUNTIFS('Screen Status'!K2:K107,"Sangeetha",'Screen Status'!J2:J107,"Blocked - Awaiting Fix")</f>
        <v>0</v>
      </c>
      <c r="K56" s="14">
        <f>SUM(B56:J56)</f>
        <v>0</v>
      </c>
    </row>
  </sheetData>
  <mergeCells count="6">
    <mergeCell ref="A1:K1"/>
    <mergeCell ref="A7:K7"/>
    <mergeCell ref="A26:Q26"/>
    <mergeCell ref="A2:K2"/>
    <mergeCell ref="A51:K51"/>
    <mergeCell ref="A45:E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/>
  </sheetViews>
  <sheetFormatPr defaultRowHeight="14.4" x14ac:dyDescent="0.3"/>
  <cols>
    <col min="1" max="2" width="24" customWidth="1"/>
    <col min="3" max="3" width="16" customWidth="1"/>
    <col min="4" max="4" width="12" customWidth="1"/>
  </cols>
  <sheetData>
    <row r="1" spans="1:4" x14ac:dyDescent="0.3">
      <c r="A1" t="s">
        <v>69</v>
      </c>
      <c r="B1" t="s">
        <v>189</v>
      </c>
      <c r="C1" t="s">
        <v>190</v>
      </c>
      <c r="D1" t="s">
        <v>51</v>
      </c>
    </row>
    <row r="2" spans="1:4" x14ac:dyDescent="0.3">
      <c r="A2" t="s">
        <v>3</v>
      </c>
      <c r="B2" t="s">
        <v>7</v>
      </c>
      <c r="C2" t="s">
        <v>62</v>
      </c>
      <c r="D2" t="s">
        <v>53</v>
      </c>
    </row>
    <row r="3" spans="1:4" x14ac:dyDescent="0.3">
      <c r="A3" t="s">
        <v>13</v>
      </c>
      <c r="B3" t="s">
        <v>77</v>
      </c>
      <c r="C3" t="s">
        <v>63</v>
      </c>
      <c r="D3" t="s">
        <v>54</v>
      </c>
    </row>
    <row r="4" spans="1:4" x14ac:dyDescent="0.3">
      <c r="A4" t="s">
        <v>6</v>
      </c>
      <c r="B4" t="s">
        <v>191</v>
      </c>
      <c r="C4" t="s">
        <v>64</v>
      </c>
      <c r="D4" t="s">
        <v>55</v>
      </c>
    </row>
    <row r="5" spans="1:4" x14ac:dyDescent="0.3">
      <c r="A5" t="s">
        <v>14</v>
      </c>
      <c r="B5" t="s">
        <v>192</v>
      </c>
      <c r="C5" t="s">
        <v>65</v>
      </c>
    </row>
    <row r="6" spans="1:4" x14ac:dyDescent="0.3">
      <c r="A6" t="s">
        <v>7</v>
      </c>
      <c r="B6" t="s">
        <v>193</v>
      </c>
    </row>
    <row r="7" spans="1:4" x14ac:dyDescent="0.3">
      <c r="A7" t="s">
        <v>15</v>
      </c>
      <c r="B7" t="s">
        <v>194</v>
      </c>
    </row>
    <row r="8" spans="1:4" x14ac:dyDescent="0.3">
      <c r="A8" t="s">
        <v>16</v>
      </c>
      <c r="B8" t="s">
        <v>99</v>
      </c>
    </row>
    <row r="9" spans="1:4" x14ac:dyDescent="0.3">
      <c r="A9" t="s">
        <v>17</v>
      </c>
      <c r="B9" t="s">
        <v>96</v>
      </c>
    </row>
    <row r="10" spans="1:4" x14ac:dyDescent="0.3">
      <c r="A10" t="s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 Status</vt:lpstr>
      <vt:lpstr>Summary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2026-04-28T06:31:38Z</dcterms:created>
  <dcterms:modified xsi:type="dcterms:W3CDTF">2026-04-28T06:34:17Z</dcterms:modified>
</cp:coreProperties>
</file>