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72" tabRatio="600" firstSheet="0" activeTab="0" autoFilterDateGrouping="1"/>
  </bookViews>
  <sheets>
    <sheet name="Screen Status" sheetId="1" state="visible" r:id="rId1"/>
    <sheet name="Lookups" sheetId="2" state="visible" r:id="rId2"/>
    <sheet name="Summary" sheetId="3" state="visible" r:id="rId3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28">
    <font>
      <name val="Calibri"/>
      <family val="2"/>
      <color theme="1"/>
      <sz val="11"/>
      <scheme val="minor"/>
    </font>
    <font>
      <name val="Calibri"/>
      <b val="1"/>
      <color rgb="FF111827"/>
      <sz val="18"/>
    </font>
    <font>
      <name val="Calibri"/>
      <color rgb="FF6B7280"/>
      <sz val="11"/>
    </font>
    <font>
      <name val="Calibri"/>
      <b val="1"/>
      <color rgb="FF6B7280"/>
      <sz val="10"/>
    </font>
    <font>
      <name val="Calibri"/>
      <b val="1"/>
      <color rgb="FF1F2937"/>
      <sz val="24"/>
    </font>
    <font>
      <name val="Calibri"/>
      <b val="1"/>
      <color rgb="FF166534"/>
      <sz val="24"/>
    </font>
    <font>
      <name val="Calibri"/>
      <b val="1"/>
      <color rgb="FF92400E"/>
      <sz val="24"/>
    </font>
    <font>
      <name val="Calibri"/>
      <b val="1"/>
      <color rgb="FF854D0E"/>
      <sz val="24"/>
    </font>
    <font>
      <name val="Calibri"/>
      <b val="1"/>
      <color rgb="FF1E40AF"/>
      <sz val="24"/>
    </font>
    <font>
      <name val="Calibri"/>
      <b val="1"/>
      <color rgb="FF4B5563"/>
      <sz val="24"/>
    </font>
    <font>
      <name val="Calibri"/>
      <b val="1"/>
      <color rgb="FF3730A3"/>
      <sz val="24"/>
    </font>
    <font>
      <name val="Calibri"/>
      <b val="1"/>
      <color rgb="FF155E75"/>
      <sz val="24"/>
    </font>
    <font>
      <name val="Calibri"/>
      <b val="1"/>
      <color rgb="FF6B21A8"/>
      <sz val="24"/>
    </font>
    <font>
      <name val="Calibri"/>
      <b val="1"/>
      <color rgb="FFFFFFFF"/>
      <sz val="12"/>
    </font>
    <font>
      <name val="Calibri"/>
      <b val="1"/>
      <color rgb="FF374151"/>
      <sz val="10"/>
    </font>
    <font>
      <name val="Calibri"/>
      <color rgb="FF111827"/>
      <sz val="10"/>
    </font>
    <font>
      <name val="Calibri"/>
      <b val="1"/>
      <color rgb="FF111827"/>
      <sz val="10"/>
    </font>
    <font>
      <name val="Calibri"/>
      <b val="1"/>
      <color rgb="FFFFFFFF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2400E"/>
      <sz val="10"/>
      <scheme val="minor"/>
    </font>
    <font>
      <name val="Calibri"/>
      <b val="1"/>
      <color rgb="FF166534"/>
      <sz val="10"/>
      <scheme val="minor"/>
    </font>
    <font>
      <name val="Calibri"/>
      <b val="1"/>
      <color rgb="FF4B5563"/>
      <sz val="10"/>
      <scheme val="minor"/>
    </font>
    <font>
      <name val="Calibri"/>
      <b val="1"/>
      <color rgb="FF6B21A8"/>
      <sz val="10"/>
      <scheme val="minor"/>
    </font>
    <font>
      <name val="Calibri"/>
      <b val="1"/>
      <color rgb="FF991B1B"/>
      <sz val="10"/>
      <scheme val="minor"/>
    </font>
    <font>
      <name val="Calibri"/>
      <b val="1"/>
      <color rgb="FF854D0E"/>
      <sz val="10"/>
      <scheme val="minor"/>
    </font>
    <font>
      <name val="Calibri"/>
      <b val="1"/>
      <color rgb="FF075985"/>
      <sz val="10"/>
      <scheme val="minor"/>
    </font>
    <font>
      <name val="Calibri"/>
      <b val="1"/>
      <color rgb="FF3730A3"/>
      <sz val="10"/>
      <scheme val="minor"/>
    </font>
    <font>
      <name val="Calibri"/>
      <b val="1"/>
      <color rgb="FF155E75"/>
      <sz val="10"/>
      <scheme val="minor"/>
    </font>
  </fonts>
  <fills count="15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F3F4F6"/>
      </patternFill>
    </fill>
    <fill>
      <patternFill patternType="solid">
        <fgColor rgb="FFE5E7EB"/>
      </patternFill>
    </fill>
    <fill>
      <patternFill patternType="solid">
        <fgColor rgb="FFFEF3C7"/>
        <bgColor rgb="FFFEF3C7"/>
      </patternFill>
    </fill>
    <fill>
      <patternFill patternType="solid">
        <fgColor rgb="FFDCFCE7"/>
        <bgColor rgb="FFDCFCE7"/>
      </patternFill>
    </fill>
    <fill>
      <patternFill patternType="solid">
        <fgColor rgb="FFEDE9FE"/>
        <bgColor rgb="FFEDE9FE"/>
      </patternFill>
    </fill>
    <fill>
      <patternFill patternType="solid">
        <fgColor rgb="FFF3F4F6"/>
        <bgColor rgb="FFF3F4F6"/>
      </patternFill>
    </fill>
    <fill>
      <patternFill patternType="solid">
        <fgColor rgb="FFFEF9C3"/>
        <bgColor rgb="FFFEF9C3"/>
      </patternFill>
    </fill>
    <fill>
      <patternFill patternType="solid">
        <fgColor rgb="FFFEE2E2"/>
        <bgColor rgb="FFFEE2E2"/>
      </patternFill>
    </fill>
    <fill>
      <patternFill patternType="solid">
        <fgColor rgb="FFE0F2FE"/>
        <bgColor rgb="FFE0F2FE"/>
      </patternFill>
    </fill>
    <fill>
      <patternFill patternType="solid">
        <fgColor rgb="FFE0E7FF"/>
        <bgColor rgb="FFE0E7FF"/>
      </patternFill>
    </fill>
    <fill>
      <patternFill patternType="solid">
        <fgColor rgb="FF1F2937"/>
        <bgColor rgb="FF000000"/>
      </patternFill>
    </fill>
    <fill>
      <patternFill patternType="solid">
        <fgColor rgb="FFCFFAFE"/>
        <bgColor rgb="FFCFFAFE"/>
      </patternFill>
    </fill>
  </fills>
  <borders count="2">
    <border>
      <left/>
      <right/>
      <top/>
      <bottom/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 indent="1"/>
    </xf>
    <xf numFmtId="0" fontId="14" fillId="3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left" vertical="center" indent="1"/>
    </xf>
    <xf numFmtId="0" fontId="15" fillId="0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left" vertical="center" indent="1"/>
    </xf>
    <xf numFmtId="0" fontId="16" fillId="0" borderId="1" applyAlignment="1" pivotButton="0" quotePrefix="0" xfId="0">
      <alignment horizontal="left" vertical="center" indent="1"/>
    </xf>
    <xf numFmtId="0" fontId="17" fillId="13" borderId="1" applyAlignment="1" pivotButton="0" quotePrefix="0" xfId="0">
      <alignment horizontal="left" vertical="center"/>
    </xf>
    <xf numFmtId="0" fontId="18" fillId="0" borderId="1" applyAlignment="1" pivotButton="0" quotePrefix="0" xfId="0">
      <alignment horizontal="left" vertical="center"/>
    </xf>
    <xf numFmtId="0" fontId="19" fillId="5" borderId="1" applyAlignment="1" pivotButton="0" quotePrefix="0" xfId="0">
      <alignment horizontal="center" vertical="center"/>
    </xf>
    <xf numFmtId="0" fontId="20" fillId="6" borderId="1" applyAlignment="1" pivotButton="0" quotePrefix="0" xfId="0">
      <alignment horizontal="center" vertical="center"/>
    </xf>
    <xf numFmtId="0" fontId="21" fillId="8" borderId="1" applyAlignment="1" pivotButton="0" quotePrefix="0" xfId="0">
      <alignment horizontal="center" vertical="center"/>
    </xf>
    <xf numFmtId="0" fontId="18" fillId="0" borderId="0" pivotButton="0" quotePrefix="0" xfId="0"/>
    <xf numFmtId="0" fontId="22" fillId="7" borderId="1" applyAlignment="1" pivotButton="0" quotePrefix="0" xfId="0">
      <alignment horizontal="center" vertical="center"/>
    </xf>
    <xf numFmtId="0" fontId="23" fillId="10" borderId="1" applyAlignment="1" pivotButton="0" quotePrefix="0" xfId="0">
      <alignment horizontal="center" vertical="center"/>
    </xf>
    <xf numFmtId="0" fontId="24" fillId="9" borderId="1" applyAlignment="1" pivotButton="0" quotePrefix="0" xfId="0">
      <alignment horizontal="center" vertical="center"/>
    </xf>
    <xf numFmtId="0" fontId="25" fillId="11" borderId="1" applyAlignment="1" pivotButton="0" quotePrefix="0" xfId="0">
      <alignment horizontal="center" vertical="center"/>
    </xf>
    <xf numFmtId="0" fontId="26" fillId="12" borderId="1" applyAlignment="1" pivotButton="0" quotePrefix="0" xfId="0">
      <alignment horizontal="center" vertical="center"/>
    </xf>
    <xf numFmtId="0" fontId="27" fillId="14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dxfs count="37"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4B5563"/>
      </font>
      <fill>
        <patternFill patternType="solid">
          <fgColor rgb="FFF3F4F6"/>
          <bgColor rgb="FFF3F4F6"/>
        </patternFill>
      </fill>
    </dxf>
    <dxf>
      <font>
        <color rgb="FF854D0E"/>
      </font>
      <fill>
        <patternFill patternType="solid">
          <fgColor rgb="FFFEF9C3"/>
          <bgColor rgb="FFFEF9C3"/>
        </patternFill>
      </fill>
    </dxf>
    <dxf>
      <font>
        <color rgb="FF1E40AF"/>
      </font>
      <fill>
        <patternFill patternType="solid">
          <fgColor rgb="FFDBEAFE"/>
          <bgColor rgb="FFDBEAFE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color rgb="FF155E75"/>
      </font>
      <fill>
        <patternFill patternType="solid">
          <fgColor rgb="FFCFFAFE"/>
          <bgColor rgb="FFCFFAFE"/>
        </patternFill>
      </fill>
    </dxf>
    <dxf>
      <font>
        <color rgb="FF6B21A8"/>
      </font>
      <fill>
        <patternFill patternType="solid">
          <fgColor rgb="FFEDE9FE"/>
          <bgColor rgb="FFEDE9FE"/>
        </patternFill>
      </fill>
    </dxf>
    <dxf>
      <font>
        <color rgb="FF4B5563"/>
      </font>
      <fill>
        <patternFill patternType="solid">
          <fgColor rgb="FFF3F4F6"/>
          <bgColor rgb="FFF3F4F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color rgb="FF155E75"/>
      </font>
      <fill>
        <patternFill patternType="solid">
          <fgColor rgb="FFCFFAFE"/>
          <bgColor rgb="FFCFFAFE"/>
        </patternFill>
      </fill>
    </dxf>
    <dxf>
      <font>
        <color rgb="FF6B21A8"/>
      </font>
      <fill>
        <patternFill patternType="solid">
          <fgColor rgb="FFEDE9FE"/>
          <bgColor rgb="FFEDE9FE"/>
        </patternFill>
      </fill>
    </dxf>
    <dxf>
      <font>
        <color rgb="FF4B5563"/>
      </font>
      <fill>
        <patternFill patternType="solid">
          <fgColor rgb="FFF3F4F6"/>
          <bgColor rgb="FFF3F4F6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3730A3"/>
      </font>
      <fill>
        <patternFill patternType="solid">
          <fgColor rgb="FFE0E7FF"/>
          <bgColor rgb="FFE0E7FF"/>
        </patternFill>
      </fill>
    </dxf>
    <dxf>
      <font>
        <color rgb="FF4B5563"/>
      </font>
      <fill>
        <patternFill patternType="solid">
          <fgColor rgb="FFF3F4F6"/>
          <bgColor rgb="FFF3F4F6"/>
        </patternFill>
      </fill>
    </dxf>
    <dxf>
      <font>
        <color rgb="FF854D0E"/>
      </font>
      <fill>
        <patternFill patternType="solid">
          <fgColor rgb="FFFEF9C3"/>
          <bgColor rgb="FFFEF9C3"/>
        </patternFill>
      </fill>
    </dxf>
    <dxf>
      <font>
        <color rgb="FF1E40AF"/>
      </font>
      <fill>
        <patternFill patternType="solid">
          <fgColor rgb="FFDBEAFE"/>
          <bgColor rgb="FFDBEAFE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166534"/>
      </font>
      <fill>
        <patternFill patternType="solid">
          <fgColor rgb="FFDCFCE7"/>
          <bgColor rgb="FFDCFCE7"/>
        </patternFill>
      </fill>
    </dxf>
    <dxf>
      <font>
        <color rgb="FF075985"/>
      </font>
      <fill>
        <patternFill patternType="solid">
          <fgColor rgb="FFE0F2FE"/>
          <bgColor rgb="FFE0F2FE"/>
        </patternFill>
      </fill>
    </dxf>
    <dxf>
      <font>
        <color rgb="FF92400E"/>
      </font>
      <fill>
        <patternFill patternType="solid">
          <fgColor rgb="FFFEF3C7"/>
          <bgColor rgb="FFFEF3C7"/>
        </patternFill>
      </fill>
    </dxf>
    <dxf>
      <font>
        <color rgb="FF991B1B"/>
      </font>
      <fill>
        <patternFill patternType="solid">
          <fgColor rgb="FFFEE2E2"/>
          <bgColor rgb="FF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47"/>
  <sheetViews>
    <sheetView tabSelected="1" workbookViewId="0">
      <pane ySplit="1" topLeftCell="A2" activePane="bottomLeft" state="frozen"/>
      <selection pane="bottomLeft" activeCell="G155" sqref="G155"/>
    </sheetView>
  </sheetViews>
  <sheetFormatPr baseColWidth="8" defaultRowHeight="14.4"/>
  <cols>
    <col width="10" customWidth="1" min="1" max="1"/>
    <col width="18" customWidth="1" min="2" max="2"/>
    <col width="32" customWidth="1" min="3" max="3"/>
    <col width="16" customWidth="1" min="4" max="4"/>
    <col width="14" customWidth="1" min="5" max="5"/>
    <col width="16" customWidth="1" min="6" max="6"/>
    <col width="26" customWidth="1" min="7" max="7"/>
    <col width="22" customWidth="1" min="8" max="8"/>
    <col width="16" customWidth="1" min="9" max="9"/>
    <col width="15.77734375" customWidth="1" min="10" max="10"/>
    <col width="16.88671875" customWidth="1" min="11" max="11"/>
    <col width="16" customWidth="1" min="12" max="12"/>
    <col width="16.21875" customWidth="1" min="13" max="13"/>
    <col width="17.33203125" customWidth="1" min="14" max="14"/>
  </cols>
  <sheetData>
    <row r="1">
      <c r="A1" s="20" t="inlineStr">
        <is>
          <t>Screen #</t>
        </is>
      </c>
      <c r="B1" s="20" t="inlineStr">
        <is>
          <t>Module</t>
        </is>
      </c>
      <c r="C1" s="20" t="inlineStr">
        <is>
          <t>Screen Name</t>
        </is>
      </c>
      <c r="D1" s="20" t="inlineStr">
        <is>
          <t>Type</t>
        </is>
      </c>
      <c r="E1" s="20" t="inlineStr">
        <is>
          <t>Priority</t>
        </is>
      </c>
      <c r="F1" s="20" t="inlineStr">
        <is>
          <t>Dev Hrs Est</t>
        </is>
      </c>
      <c r="G1" s="20" t="inlineStr">
        <is>
          <t>Development Status</t>
        </is>
      </c>
      <c r="H1" s="20" t="inlineStr">
        <is>
          <t>Development Done By</t>
        </is>
      </c>
      <c r="I1" s="20" t="inlineStr">
        <is>
          <t>DevTest Hrs Est</t>
        </is>
      </c>
      <c r="J1" s="20" t="inlineStr">
        <is>
          <t>Dev Testing Status</t>
        </is>
      </c>
      <c r="K1" s="20" t="inlineStr">
        <is>
          <t>Dev Tested By</t>
        </is>
      </c>
      <c r="L1" s="20" t="inlineStr">
        <is>
          <t>QA Hrs Est</t>
        </is>
      </c>
      <c r="M1" s="20" t="inlineStr">
        <is>
          <t>QA Testing Status</t>
        </is>
      </c>
      <c r="N1" s="20" t="inlineStr">
        <is>
          <t>QA Tested By</t>
        </is>
      </c>
    </row>
    <row r="2">
      <c r="A2" s="21" t="n">
        <v>1</v>
      </c>
      <c r="B2" s="21" t="inlineStr">
        <is>
          <t>Fundraising</t>
        </is>
      </c>
      <c r="C2" s="21" t="inlineStr">
        <is>
          <t>Donation (Global)</t>
        </is>
      </c>
      <c r="D2" s="21" t="inlineStr">
        <is>
          <t>FLOW</t>
        </is>
      </c>
      <c r="E2" s="22" t="inlineStr">
        <is>
          <t>Medium</t>
        </is>
      </c>
      <c r="F2" s="33" t="inlineStr">
        <is>
          <t>1</t>
        </is>
      </c>
      <c r="G2" s="23" t="inlineStr">
        <is>
          <t>Completed</t>
        </is>
      </c>
      <c r="H2" s="21" t="inlineStr">
        <is>
          <t>Karthick</t>
        </is>
      </c>
      <c r="I2" s="33" t="inlineStr">
        <is>
          <t>1.5</t>
        </is>
      </c>
      <c r="J2" s="23" t="inlineStr">
        <is>
          <t>Passed</t>
        </is>
      </c>
      <c r="K2" s="21" t="inlineStr">
        <is>
          <t>Karthick</t>
        </is>
      </c>
      <c r="L2" s="33" t="inlineStr">
        <is>
          <t>1.5</t>
        </is>
      </c>
      <c r="M2" s="24" t="inlineStr">
        <is>
          <t>Not Started</t>
        </is>
      </c>
      <c r="N2" s="21" t="inlineStr">
        <is>
          <t>1.5</t>
        </is>
      </c>
    </row>
    <row r="3">
      <c r="A3" s="21" t="n">
        <v>2</v>
      </c>
      <c r="B3" s="21" t="inlineStr">
        <is>
          <t>Fundraising</t>
        </is>
      </c>
      <c r="C3" s="21" t="inlineStr">
        <is>
          <t>Donation Purpose</t>
        </is>
      </c>
      <c r="D3" s="21" t="inlineStr">
        <is>
          <t>MASTER_GRID</t>
        </is>
      </c>
      <c r="E3" s="22" t="inlineStr">
        <is>
          <t>Medium</t>
        </is>
      </c>
      <c r="F3" s="33" t="inlineStr">
        <is>
          <t>0.5</t>
        </is>
      </c>
      <c r="G3" s="23" t="inlineStr">
        <is>
          <t>Completed</t>
        </is>
      </c>
      <c r="H3" s="21" t="inlineStr">
        <is>
          <t>Karthick</t>
        </is>
      </c>
      <c r="I3" s="33" t="inlineStr">
        <is>
          <t>0.75</t>
        </is>
      </c>
      <c r="J3" s="23" t="inlineStr">
        <is>
          <t>Passed</t>
        </is>
      </c>
      <c r="K3" s="21" t="inlineStr">
        <is>
          <t>Saranya</t>
        </is>
      </c>
      <c r="L3" s="33" t="inlineStr">
        <is>
          <t>0.75</t>
        </is>
      </c>
      <c r="M3" s="24" t="inlineStr">
        <is>
          <t>Not Started</t>
        </is>
      </c>
      <c r="N3" s="21" t="inlineStr">
        <is>
          <t>0.75</t>
        </is>
      </c>
    </row>
    <row r="4">
      <c r="A4" s="21" t="n">
        <v>3</v>
      </c>
      <c r="B4" s="21" t="inlineStr">
        <is>
          <t>Fundraising</t>
        </is>
      </c>
      <c r="C4" s="21" t="inlineStr">
        <is>
          <t>Donation Category</t>
        </is>
      </c>
      <c r="D4" s="21" t="inlineStr">
        <is>
          <t>MASTER_GRID</t>
        </is>
      </c>
      <c r="E4" s="22" t="inlineStr">
        <is>
          <t>Medium</t>
        </is>
      </c>
      <c r="F4" s="33" t="inlineStr">
        <is>
          <t>0.5</t>
        </is>
      </c>
      <c r="G4" s="23" t="inlineStr">
        <is>
          <t>Completed</t>
        </is>
      </c>
      <c r="H4" s="21" t="inlineStr">
        <is>
          <t>Karthick</t>
        </is>
      </c>
      <c r="I4" s="33" t="inlineStr">
        <is>
          <t>0.75</t>
        </is>
      </c>
      <c r="J4" s="23" t="inlineStr">
        <is>
          <t>Passed</t>
        </is>
      </c>
      <c r="K4" s="21" t="inlineStr">
        <is>
          <t>Saranya</t>
        </is>
      </c>
      <c r="L4" s="33" t="inlineStr">
        <is>
          <t>0.75</t>
        </is>
      </c>
      <c r="M4" s="24" t="inlineStr">
        <is>
          <t>Not Started</t>
        </is>
      </c>
      <c r="N4" s="21" t="inlineStr">
        <is>
          <t>0.75</t>
        </is>
      </c>
    </row>
    <row r="5">
      <c r="A5" s="21" t="n">
        <v>4</v>
      </c>
      <c r="B5" s="21" t="inlineStr">
        <is>
          <t>Fundraising</t>
        </is>
      </c>
      <c r="C5" s="21" t="inlineStr">
        <is>
          <t>Donation Group</t>
        </is>
      </c>
      <c r="D5" s="21" t="inlineStr">
        <is>
          <t>MASTER_GRID</t>
        </is>
      </c>
      <c r="E5" s="22" t="inlineStr">
        <is>
          <t>Medium</t>
        </is>
      </c>
      <c r="F5" s="33" t="inlineStr">
        <is>
          <t>0.5</t>
        </is>
      </c>
      <c r="G5" s="23" t="inlineStr">
        <is>
          <t>Completed</t>
        </is>
      </c>
      <c r="H5" s="21" t="inlineStr">
        <is>
          <t>Karthick</t>
        </is>
      </c>
      <c r="I5" s="33" t="inlineStr">
        <is>
          <t>0.75</t>
        </is>
      </c>
      <c r="J5" s="23" t="inlineStr">
        <is>
          <t>Passed</t>
        </is>
      </c>
      <c r="K5" s="21" t="inlineStr">
        <is>
          <t>Saranya</t>
        </is>
      </c>
      <c r="L5" s="33" t="inlineStr">
        <is>
          <t>0.75</t>
        </is>
      </c>
      <c r="M5" s="24" t="inlineStr">
        <is>
          <t>Not Started</t>
        </is>
      </c>
      <c r="N5" s="21" t="inlineStr">
        <is>
          <t>0.75</t>
        </is>
      </c>
    </row>
    <row r="6">
      <c r="A6" s="21" t="n">
        <v>5</v>
      </c>
      <c r="B6" s="21" t="inlineStr">
        <is>
          <t>Fundraising</t>
        </is>
      </c>
      <c r="C6" s="21" t="inlineStr">
        <is>
          <t>Bulk Donation</t>
        </is>
      </c>
      <c r="D6" s="21" t="inlineStr">
        <is>
          <t>FLOW</t>
        </is>
      </c>
      <c r="E6" s="22" t="inlineStr">
        <is>
          <t>Medium</t>
        </is>
      </c>
      <c r="F6" s="33" t="inlineStr">
        <is>
          <t>0.75</t>
        </is>
      </c>
      <c r="G6" s="23" t="inlineStr">
        <is>
          <t>Completed</t>
        </is>
      </c>
      <c r="H6" s="21" t="inlineStr">
        <is>
          <t>Karthick</t>
        </is>
      </c>
      <c r="I6" s="33" t="inlineStr">
        <is>
          <t>1</t>
        </is>
      </c>
      <c r="J6" s="24" t="inlineStr">
        <is>
          <t>Not Started</t>
        </is>
      </c>
      <c r="K6" s="21" t="n"/>
      <c r="L6" s="33" t="inlineStr">
        <is>
          <t>1</t>
        </is>
      </c>
      <c r="M6" s="24" t="inlineStr">
        <is>
          <t>Not Started</t>
        </is>
      </c>
      <c r="N6" s="21" t="inlineStr">
        <is>
          <t>1</t>
        </is>
      </c>
    </row>
    <row r="7">
      <c r="A7" s="21" t="n">
        <v>6</v>
      </c>
      <c r="B7" s="21" t="inlineStr">
        <is>
          <t>Fundraising</t>
        </is>
      </c>
      <c r="C7" s="21" t="inlineStr">
        <is>
          <t>Cheque Donation</t>
        </is>
      </c>
      <c r="D7" s="21" t="inlineStr">
        <is>
          <t>FLOW</t>
        </is>
      </c>
      <c r="E7" s="22" t="inlineStr">
        <is>
          <t>Medium</t>
        </is>
      </c>
      <c r="F7" s="33" t="inlineStr">
        <is>
          <t>1</t>
        </is>
      </c>
      <c r="G7" s="23" t="inlineStr">
        <is>
          <t>Completed</t>
        </is>
      </c>
      <c r="H7" s="21" t="inlineStr">
        <is>
          <t>Karthick</t>
        </is>
      </c>
      <c r="I7" s="33" t="inlineStr">
        <is>
          <t>1.5</t>
        </is>
      </c>
      <c r="J7" s="23" t="inlineStr">
        <is>
          <t>Passed</t>
        </is>
      </c>
      <c r="K7" s="21" t="inlineStr">
        <is>
          <t>Karthick</t>
        </is>
      </c>
      <c r="L7" s="33" t="inlineStr">
        <is>
          <t>1.5</t>
        </is>
      </c>
      <c r="M7" s="24" t="inlineStr">
        <is>
          <t>Not Started</t>
        </is>
      </c>
      <c r="N7" s="21" t="inlineStr">
        <is>
          <t>1.5</t>
        </is>
      </c>
    </row>
    <row r="8">
      <c r="A8" s="21" t="n">
        <v>7</v>
      </c>
      <c r="B8" s="21" t="inlineStr">
        <is>
          <t>Fundraising</t>
        </is>
      </c>
      <c r="C8" s="21" t="inlineStr">
        <is>
          <t>In-Kind Donation</t>
        </is>
      </c>
      <c r="D8" s="21" t="inlineStr">
        <is>
          <t>FLOW</t>
        </is>
      </c>
      <c r="E8" s="22" t="inlineStr">
        <is>
          <t>Medium</t>
        </is>
      </c>
      <c r="F8" s="33" t="inlineStr">
        <is>
          <t>1</t>
        </is>
      </c>
      <c r="G8" s="23" t="inlineStr">
        <is>
          <t>Completed</t>
        </is>
      </c>
      <c r="H8" s="21" t="inlineStr">
        <is>
          <t>Karthick</t>
        </is>
      </c>
      <c r="I8" s="33" t="inlineStr">
        <is>
          <t>1.5</t>
        </is>
      </c>
      <c r="J8" s="23" t="inlineStr">
        <is>
          <t>Passed</t>
        </is>
      </c>
      <c r="K8" s="21" t="inlineStr">
        <is>
          <t>Saranya</t>
        </is>
      </c>
      <c r="L8" s="33" t="inlineStr">
        <is>
          <t>1.5</t>
        </is>
      </c>
      <c r="M8" s="24" t="inlineStr">
        <is>
          <t>Not Started</t>
        </is>
      </c>
      <c r="N8" s="21" t="inlineStr">
        <is>
          <t>1.5</t>
        </is>
      </c>
    </row>
    <row r="9">
      <c r="A9" s="21" t="n">
        <v>8</v>
      </c>
      <c r="B9" s="21" t="inlineStr">
        <is>
          <t>Fundraising</t>
        </is>
      </c>
      <c r="C9" s="21" t="inlineStr">
        <is>
          <t>Recurring Donation</t>
        </is>
      </c>
      <c r="D9" s="21" t="inlineStr">
        <is>
          <t>FLOW</t>
        </is>
      </c>
      <c r="E9" s="22" t="inlineStr">
        <is>
          <t>Medium</t>
        </is>
      </c>
      <c r="F9" s="33" t="inlineStr">
        <is>
          <t>1</t>
        </is>
      </c>
      <c r="G9" s="23" t="inlineStr">
        <is>
          <t>Completed</t>
        </is>
      </c>
      <c r="H9" s="21" t="inlineStr">
        <is>
          <t>Karthick</t>
        </is>
      </c>
      <c r="I9" s="33" t="inlineStr">
        <is>
          <t>1.5</t>
        </is>
      </c>
      <c r="J9" s="26" t="inlineStr">
        <is>
          <t>Pending</t>
        </is>
      </c>
      <c r="K9" s="21" t="inlineStr">
        <is>
          <t>Karthick</t>
        </is>
      </c>
      <c r="L9" s="33" t="inlineStr">
        <is>
          <t>1.5</t>
        </is>
      </c>
      <c r="M9" s="24" t="inlineStr">
        <is>
          <t>Not Started</t>
        </is>
      </c>
      <c r="N9" s="21" t="inlineStr">
        <is>
          <t>1.5</t>
        </is>
      </c>
    </row>
    <row r="10">
      <c r="A10" s="21" t="n">
        <v>9</v>
      </c>
      <c r="B10" s="21" t="inlineStr">
        <is>
          <t>Fundraising</t>
        </is>
      </c>
      <c r="C10" s="21" t="inlineStr">
        <is>
          <t>Receipt (GlobalReceipt)</t>
        </is>
      </c>
      <c r="D10" s="21" t="inlineStr">
        <is>
          <t>FLOW</t>
        </is>
      </c>
      <c r="E10" s="22" t="inlineStr">
        <is>
          <t>Medium</t>
        </is>
      </c>
      <c r="F10" s="33" t="inlineStr">
        <is>
          <t>0.75</t>
        </is>
      </c>
      <c r="G10" s="24" t="inlineStr">
        <is>
          <t>Not Started</t>
        </is>
      </c>
      <c r="H10" s="25" t="inlineStr">
        <is>
          <t>Not Started</t>
        </is>
      </c>
      <c r="I10" s="33" t="inlineStr">
        <is>
          <t>1</t>
        </is>
      </c>
      <c r="J10" s="24" t="inlineStr">
        <is>
          <t>Not Started</t>
        </is>
      </c>
      <c r="K10" s="21" t="n"/>
      <c r="L10" s="33" t="inlineStr">
        <is>
          <t>1</t>
        </is>
      </c>
      <c r="M10" s="24" t="inlineStr">
        <is>
          <t>Not Started</t>
        </is>
      </c>
      <c r="N10" s="21" t="inlineStr">
        <is>
          <t>1</t>
        </is>
      </c>
    </row>
    <row r="11">
      <c r="A11" s="21" t="n">
        <v>10</v>
      </c>
      <c r="B11" s="21" t="inlineStr">
        <is>
          <t>Fundraising</t>
        </is>
      </c>
      <c r="C11" s="21" t="inlineStr">
        <is>
          <t>Online Donation Setup</t>
        </is>
      </c>
      <c r="D11" s="21" t="inlineStr">
        <is>
          <t>FLOW</t>
        </is>
      </c>
      <c r="E11" s="22" t="inlineStr">
        <is>
          <t>Medium</t>
        </is>
      </c>
      <c r="F11" s="33" t="inlineStr">
        <is>
          <t>1</t>
        </is>
      </c>
      <c r="G11" s="23" t="inlineStr">
        <is>
          <t>Completed</t>
        </is>
      </c>
      <c r="H11" s="21" t="inlineStr">
        <is>
          <t>Karthick</t>
        </is>
      </c>
      <c r="I11" s="33" t="inlineStr">
        <is>
          <t>1.5</t>
        </is>
      </c>
      <c r="J11" s="24" t="inlineStr">
        <is>
          <t>Not Started</t>
        </is>
      </c>
      <c r="K11" s="21" t="n"/>
      <c r="L11" s="33" t="inlineStr">
        <is>
          <t>1.5</t>
        </is>
      </c>
      <c r="M11" s="24" t="inlineStr">
        <is>
          <t>Not Started</t>
        </is>
      </c>
      <c r="N11" s="21" t="inlineStr">
        <is>
          <t>1.5</t>
        </is>
      </c>
    </row>
    <row r="12">
      <c r="A12" s="21" t="n">
        <v>11</v>
      </c>
      <c r="B12" s="21" t="inlineStr">
        <is>
          <t>Fundraising</t>
        </is>
      </c>
      <c r="C12" s="21" t="inlineStr">
        <is>
          <t>Matching Gift</t>
        </is>
      </c>
      <c r="D12" s="21" t="inlineStr">
        <is>
          <t>FLOW</t>
        </is>
      </c>
      <c r="E12" s="27" t="inlineStr">
        <is>
          <t>High</t>
        </is>
      </c>
      <c r="F12" s="33" t="inlineStr">
        <is>
          <t>1</t>
        </is>
      </c>
      <c r="G12" s="23" t="inlineStr">
        <is>
          <t>Completed</t>
        </is>
      </c>
      <c r="H12" s="21" t="inlineStr">
        <is>
          <t>Karthick</t>
        </is>
      </c>
      <c r="I12" s="33" t="inlineStr">
        <is>
          <t>1.5</t>
        </is>
      </c>
      <c r="J12" s="26" t="inlineStr">
        <is>
          <t>Pending</t>
        </is>
      </c>
      <c r="K12" s="21" t="inlineStr">
        <is>
          <t>Karthick</t>
        </is>
      </c>
      <c r="L12" s="33" t="inlineStr">
        <is>
          <t>1.5</t>
        </is>
      </c>
      <c r="M12" s="24" t="inlineStr">
        <is>
          <t>Not Started</t>
        </is>
      </c>
      <c r="N12" s="21" t="inlineStr">
        <is>
          <t>1.5</t>
        </is>
      </c>
    </row>
    <row r="13">
      <c r="A13" s="21" t="n">
        <v>12</v>
      </c>
      <c r="B13" s="21" t="inlineStr">
        <is>
          <t>Fundraising</t>
        </is>
      </c>
      <c r="C13" s="21" t="inlineStr">
        <is>
          <t>Pledge</t>
        </is>
      </c>
      <c r="D13" s="21" t="inlineStr">
        <is>
          <t>FLOW</t>
        </is>
      </c>
      <c r="E13" s="27" t="inlineStr">
        <is>
          <t>High</t>
        </is>
      </c>
      <c r="F13" s="33" t="inlineStr">
        <is>
          <t>1</t>
        </is>
      </c>
      <c r="G13" s="23" t="inlineStr">
        <is>
          <t>Completed</t>
        </is>
      </c>
      <c r="H13" s="21" t="inlineStr">
        <is>
          <t>Karthick</t>
        </is>
      </c>
      <c r="I13" s="33" t="inlineStr">
        <is>
          <t>1.5</t>
        </is>
      </c>
      <c r="J13" s="26" t="inlineStr">
        <is>
          <t>Pending</t>
        </is>
      </c>
      <c r="K13" s="21" t="inlineStr">
        <is>
          <t>Kavin</t>
        </is>
      </c>
      <c r="L13" s="33" t="inlineStr">
        <is>
          <t>1.5</t>
        </is>
      </c>
      <c r="M13" s="24" t="inlineStr">
        <is>
          <t>Not Started</t>
        </is>
      </c>
      <c r="N13" s="21" t="inlineStr">
        <is>
          <t>1.5</t>
        </is>
      </c>
    </row>
    <row r="14">
      <c r="A14" s="21" t="n">
        <v>13</v>
      </c>
      <c r="B14" s="21" t="inlineStr">
        <is>
          <t>Fundraising</t>
        </is>
      </c>
      <c r="C14" s="21" t="inlineStr">
        <is>
          <t>Refund</t>
        </is>
      </c>
      <c r="D14" s="21" t="inlineStr">
        <is>
          <t>FLOW</t>
        </is>
      </c>
      <c r="E14" s="22" t="inlineStr">
        <is>
          <t>Medium</t>
        </is>
      </c>
      <c r="F14" s="33" t="inlineStr">
        <is>
          <t>1</t>
        </is>
      </c>
      <c r="G14" s="23" t="inlineStr">
        <is>
          <t>Completed</t>
        </is>
      </c>
      <c r="H14" s="21" t="inlineStr">
        <is>
          <t>Karthick</t>
        </is>
      </c>
      <c r="I14" s="33" t="inlineStr">
        <is>
          <t>1.5</t>
        </is>
      </c>
      <c r="J14" s="26" t="inlineStr">
        <is>
          <t>Pending</t>
        </is>
      </c>
      <c r="K14" s="21" t="inlineStr">
        <is>
          <t>Karthick</t>
        </is>
      </c>
      <c r="L14" s="33" t="inlineStr">
        <is>
          <t>1.5</t>
        </is>
      </c>
      <c r="M14" s="24" t="inlineStr">
        <is>
          <t>Not Started</t>
        </is>
      </c>
      <c r="N14" s="21" t="inlineStr">
        <is>
          <t>1.5</t>
        </is>
      </c>
    </row>
    <row r="15">
      <c r="A15" s="21" t="n">
        <v>14</v>
      </c>
      <c r="B15" s="21" t="inlineStr">
        <is>
          <t>Fundraising</t>
        </is>
      </c>
      <c r="C15" s="21" t="inlineStr">
        <is>
          <t>Payment Reconciliation</t>
        </is>
      </c>
      <c r="D15" s="21" t="inlineStr">
        <is>
          <t>FLOW</t>
        </is>
      </c>
      <c r="E15" s="22" t="inlineStr">
        <is>
          <t>Medium</t>
        </is>
      </c>
      <c r="F15" s="33" t="inlineStr">
        <is>
          <t>1</t>
        </is>
      </c>
      <c r="G15" s="23" t="inlineStr">
        <is>
          <t>Completed</t>
        </is>
      </c>
      <c r="H15" s="21" t="inlineStr">
        <is>
          <t>Karthick</t>
        </is>
      </c>
      <c r="I15" s="33" t="inlineStr">
        <is>
          <t>1.5</t>
        </is>
      </c>
      <c r="J15" s="23" t="inlineStr">
        <is>
          <t>Passed</t>
        </is>
      </c>
      <c r="K15" s="21" t="inlineStr">
        <is>
          <t>Karthick</t>
        </is>
      </c>
      <c r="L15" s="33" t="inlineStr">
        <is>
          <t>1.5</t>
        </is>
      </c>
      <c r="M15" s="24" t="inlineStr">
        <is>
          <t>Not Started</t>
        </is>
      </c>
      <c r="N15" s="21" t="inlineStr">
        <is>
          <t>1.5</t>
        </is>
      </c>
    </row>
    <row r="16">
      <c r="A16" s="21" t="n">
        <v>15</v>
      </c>
      <c r="B16" s="21" t="inlineStr">
        <is>
          <t>Fundraising</t>
        </is>
      </c>
      <c r="C16" s="21" t="inlineStr">
        <is>
          <t>P2P Campaign</t>
        </is>
      </c>
      <c r="D16" s="21" t="inlineStr">
        <is>
          <t>FLOW</t>
        </is>
      </c>
      <c r="E16" s="22" t="inlineStr">
        <is>
          <t>Medium</t>
        </is>
      </c>
      <c r="F16" s="33" t="inlineStr">
        <is>
          <t>1</t>
        </is>
      </c>
      <c r="G16" s="23" t="inlineStr">
        <is>
          <t>Completed</t>
        </is>
      </c>
      <c r="H16" s="21" t="inlineStr">
        <is>
          <t>Karthick</t>
        </is>
      </c>
      <c r="I16" s="33" t="inlineStr">
        <is>
          <t>1.5</t>
        </is>
      </c>
      <c r="J16" s="24" t="inlineStr">
        <is>
          <t>Not Started</t>
        </is>
      </c>
      <c r="K16" s="21" t="n"/>
      <c r="L16" s="33" t="inlineStr">
        <is>
          <t>1.5</t>
        </is>
      </c>
      <c r="M16" s="24" t="inlineStr">
        <is>
          <t>Not Started</t>
        </is>
      </c>
      <c r="N16" s="21" t="inlineStr">
        <is>
          <t>1.5</t>
        </is>
      </c>
    </row>
    <row r="17">
      <c r="A17" s="21" t="n">
        <v>16</v>
      </c>
      <c r="B17" s="21" t="inlineStr">
        <is>
          <t>Fundraising</t>
        </is>
      </c>
      <c r="C17" s="21" t="inlineStr">
        <is>
          <t>Crowdfunding</t>
        </is>
      </c>
      <c r="D17" s="21" t="inlineStr">
        <is>
          <t>FLOW</t>
        </is>
      </c>
      <c r="E17" s="22" t="inlineStr">
        <is>
          <t>Medium</t>
        </is>
      </c>
      <c r="F17" s="33" t="inlineStr">
        <is>
          <t>1</t>
        </is>
      </c>
      <c r="G17" s="28" t="inlineStr">
        <is>
          <t>In Progress (Partial)</t>
        </is>
      </c>
      <c r="H17" s="21" t="inlineStr">
        <is>
          <t>Karthick</t>
        </is>
      </c>
      <c r="I17" s="33" t="inlineStr">
        <is>
          <t>1.5</t>
        </is>
      </c>
      <c r="J17" s="24" t="inlineStr">
        <is>
          <t>Not Started</t>
        </is>
      </c>
      <c r="K17" s="21" t="n"/>
      <c r="L17" s="33" t="inlineStr">
        <is>
          <t>1.5</t>
        </is>
      </c>
      <c r="M17" s="24" t="inlineStr">
        <is>
          <t>Not Started</t>
        </is>
      </c>
      <c r="N17" s="21" t="inlineStr">
        <is>
          <t>1.5</t>
        </is>
      </c>
    </row>
    <row r="18">
      <c r="A18" s="21" t="n">
        <v>17</v>
      </c>
      <c r="B18" s="21" t="inlineStr">
        <is>
          <t>Fundraising</t>
        </is>
      </c>
      <c r="C18" s="21" t="inlineStr">
        <is>
          <t>Fundraising Dashboard</t>
        </is>
      </c>
      <c r="D18" s="21" t="inlineStr">
        <is>
          <t>Dashboard</t>
        </is>
      </c>
      <c r="E18" s="29" t="inlineStr">
        <is>
          <t>Low</t>
        </is>
      </c>
      <c r="F18" s="33" t="inlineStr">
        <is>
          <t>0.75</t>
        </is>
      </c>
      <c r="G18" s="24" t="inlineStr">
        <is>
          <t>Not Started</t>
        </is>
      </c>
      <c r="H18" s="21" t="inlineStr">
        <is>
          <t>N/A (Upcoming)</t>
        </is>
      </c>
      <c r="I18" s="33" t="inlineStr">
        <is>
          <t>1</t>
        </is>
      </c>
      <c r="J18" s="30" t="inlineStr">
        <is>
          <t>N/A (Upcoming)</t>
        </is>
      </c>
      <c r="K18" s="21" t="n"/>
      <c r="L18" s="33" t="inlineStr">
        <is>
          <t>1</t>
        </is>
      </c>
      <c r="M18" s="30" t="inlineStr">
        <is>
          <t>N/A (Upcoming)</t>
        </is>
      </c>
      <c r="N18" s="21" t="inlineStr">
        <is>
          <t>1</t>
        </is>
      </c>
    </row>
    <row r="19">
      <c r="A19" s="21" t="n">
        <v>18</v>
      </c>
      <c r="B19" s="21" t="inlineStr">
        <is>
          <t>Contacts</t>
        </is>
      </c>
      <c r="C19" s="21" t="inlineStr">
        <is>
          <t>Contact</t>
        </is>
      </c>
      <c r="D19" s="21" t="inlineStr">
        <is>
          <t>FLOW</t>
        </is>
      </c>
      <c r="E19" s="22" t="inlineStr">
        <is>
          <t>Medium</t>
        </is>
      </c>
      <c r="F19" s="33" t="inlineStr">
        <is>
          <t>1</t>
        </is>
      </c>
      <c r="G19" s="23" t="inlineStr">
        <is>
          <t>Completed</t>
        </is>
      </c>
      <c r="H19" s="21" t="inlineStr">
        <is>
          <t>Karthick</t>
        </is>
      </c>
      <c r="I19" s="33" t="inlineStr">
        <is>
          <t>1.5</t>
        </is>
      </c>
      <c r="J19" s="23" t="inlineStr">
        <is>
          <t>Passed</t>
        </is>
      </c>
      <c r="K19" s="21" t="inlineStr">
        <is>
          <t>Kavin</t>
        </is>
      </c>
      <c r="L19" s="33" t="inlineStr">
        <is>
          <t>1.5</t>
        </is>
      </c>
      <c r="M19" s="24" t="inlineStr">
        <is>
          <t>Not Started</t>
        </is>
      </c>
      <c r="N19" s="21" t="inlineStr">
        <is>
          <t>1.5</t>
        </is>
      </c>
    </row>
    <row r="20">
      <c r="A20" s="21" t="n">
        <v>19</v>
      </c>
      <c r="B20" s="21" t="inlineStr">
        <is>
          <t>Contacts</t>
        </is>
      </c>
      <c r="C20" s="21" t="inlineStr">
        <is>
          <t>Contact Type</t>
        </is>
      </c>
      <c r="D20" s="21" t="inlineStr">
        <is>
          <t>MASTER_GRID</t>
        </is>
      </c>
      <c r="E20" s="22" t="inlineStr">
        <is>
          <t>Medium</t>
        </is>
      </c>
      <c r="F20" s="33" t="inlineStr">
        <is>
          <t>0.5</t>
        </is>
      </c>
      <c r="G20" s="23" t="inlineStr">
        <is>
          <t>Completed</t>
        </is>
      </c>
      <c r="H20" s="21" t="inlineStr">
        <is>
          <t>Karthick</t>
        </is>
      </c>
      <c r="I20" s="33" t="inlineStr">
        <is>
          <t>0.75</t>
        </is>
      </c>
      <c r="J20" s="27" t="inlineStr">
        <is>
          <t>Blocked - Awaiting Fix</t>
        </is>
      </c>
      <c r="K20" s="21" t="inlineStr">
        <is>
          <t>Saranya</t>
        </is>
      </c>
      <c r="L20" s="33" t="inlineStr">
        <is>
          <t>0.75</t>
        </is>
      </c>
      <c r="M20" s="24" t="inlineStr">
        <is>
          <t>Not Started</t>
        </is>
      </c>
      <c r="N20" s="21" t="inlineStr">
        <is>
          <t>0.75</t>
        </is>
      </c>
    </row>
    <row r="21">
      <c r="A21" s="21" t="n">
        <v>20</v>
      </c>
      <c r="B21" s="21" t="inlineStr">
        <is>
          <t>Contacts</t>
        </is>
      </c>
      <c r="C21" s="21" t="inlineStr">
        <is>
          <t>Family</t>
        </is>
      </c>
      <c r="D21" s="21" t="inlineStr">
        <is>
          <t>FLOW</t>
        </is>
      </c>
      <c r="E21" s="22" t="inlineStr">
        <is>
          <t>Medium</t>
        </is>
      </c>
      <c r="F21" s="33" t="inlineStr">
        <is>
          <t>1</t>
        </is>
      </c>
      <c r="G21" s="23" t="inlineStr">
        <is>
          <t>Completed</t>
        </is>
      </c>
      <c r="H21" s="21" t="inlineStr">
        <is>
          <t>Karthick</t>
        </is>
      </c>
      <c r="I21" s="33" t="inlineStr">
        <is>
          <t>1.5</t>
        </is>
      </c>
      <c r="J21" s="26" t="inlineStr">
        <is>
          <t>Pending</t>
        </is>
      </c>
      <c r="K21" s="21" t="inlineStr">
        <is>
          <t>Saranya</t>
        </is>
      </c>
      <c r="L21" s="33" t="inlineStr">
        <is>
          <t>1.5</t>
        </is>
      </c>
      <c r="M21" s="24" t="inlineStr">
        <is>
          <t>Not Started</t>
        </is>
      </c>
      <c r="N21" s="21" t="inlineStr">
        <is>
          <t>1.5</t>
        </is>
      </c>
    </row>
    <row r="22">
      <c r="A22" s="21" t="n">
        <v>21</v>
      </c>
      <c r="B22" s="21" t="inlineStr">
        <is>
          <t>Contacts</t>
        </is>
      </c>
      <c r="C22" s="21" t="inlineStr">
        <is>
          <t>Duplicate Detection</t>
        </is>
      </c>
      <c r="D22" s="21" t="inlineStr">
        <is>
          <t>FLOW</t>
        </is>
      </c>
      <c r="E22" s="22" t="inlineStr">
        <is>
          <t>Medium</t>
        </is>
      </c>
      <c r="F22" s="33" t="inlineStr">
        <is>
          <t>1</t>
        </is>
      </c>
      <c r="G22" s="23" t="inlineStr">
        <is>
          <t>Completed</t>
        </is>
      </c>
      <c r="H22" s="21" t="inlineStr">
        <is>
          <t>Karthick</t>
        </is>
      </c>
      <c r="I22" s="33" t="inlineStr">
        <is>
          <t>1.5</t>
        </is>
      </c>
      <c r="J22" s="26" t="inlineStr">
        <is>
          <t>Pending</t>
        </is>
      </c>
      <c r="K22" s="21" t="inlineStr">
        <is>
          <t>Karthick</t>
        </is>
      </c>
      <c r="L22" s="33" t="inlineStr">
        <is>
          <t>1.5</t>
        </is>
      </c>
      <c r="M22" s="24" t="inlineStr">
        <is>
          <t>Not Started</t>
        </is>
      </c>
      <c r="N22" s="21" t="inlineStr">
        <is>
          <t>1.5</t>
        </is>
      </c>
    </row>
    <row r="23">
      <c r="A23" s="21" t="n">
        <v>22</v>
      </c>
      <c r="B23" s="21" t="inlineStr">
        <is>
          <t>Contacts</t>
        </is>
      </c>
      <c r="C23" s="21" t="inlineStr">
        <is>
          <t>Tags &amp; Segmentation</t>
        </is>
      </c>
      <c r="D23" s="21" t="inlineStr">
        <is>
          <t>MASTER_GRID</t>
        </is>
      </c>
      <c r="E23" s="27" t="inlineStr">
        <is>
          <t>High</t>
        </is>
      </c>
      <c r="F23" s="33" t="inlineStr">
        <is>
          <t>0.75</t>
        </is>
      </c>
      <c r="G23" s="23" t="inlineStr">
        <is>
          <t>Completed</t>
        </is>
      </c>
      <c r="H23" s="21" t="inlineStr">
        <is>
          <t>Karthick</t>
        </is>
      </c>
      <c r="I23" s="33" t="inlineStr">
        <is>
          <t>1</t>
        </is>
      </c>
      <c r="J23" s="26" t="inlineStr">
        <is>
          <t>Pending</t>
        </is>
      </c>
      <c r="K23" s="21" t="inlineStr">
        <is>
          <t>Saranya</t>
        </is>
      </c>
      <c r="L23" s="33" t="inlineStr">
        <is>
          <t>1</t>
        </is>
      </c>
      <c r="M23" s="24" t="inlineStr">
        <is>
          <t>Not Started</t>
        </is>
      </c>
      <c r="N23" s="21" t="inlineStr">
        <is>
          <t>1</t>
        </is>
      </c>
    </row>
    <row r="24">
      <c r="A24" s="21" t="n">
        <v>23</v>
      </c>
      <c r="B24" s="21" t="inlineStr">
        <is>
          <t>Contacts</t>
        </is>
      </c>
      <c r="C24" s="21" t="inlineStr">
        <is>
          <t>Contact Import</t>
        </is>
      </c>
      <c r="D24" s="21" t="inlineStr">
        <is>
          <t>FLOW</t>
        </is>
      </c>
      <c r="E24" s="22" t="inlineStr">
        <is>
          <t>Medium</t>
        </is>
      </c>
      <c r="F24" s="33" t="inlineStr">
        <is>
          <t>0.75</t>
        </is>
      </c>
      <c r="G24" s="23" t="inlineStr">
        <is>
          <t>Completed</t>
        </is>
      </c>
      <c r="H24" s="21" t="inlineStr">
        <is>
          <t>Kavin</t>
        </is>
      </c>
      <c r="I24" s="33" t="inlineStr">
        <is>
          <t>1</t>
        </is>
      </c>
      <c r="J24" s="23" t="inlineStr">
        <is>
          <t>Passed</t>
        </is>
      </c>
      <c r="K24" s="21" t="inlineStr">
        <is>
          <t>Kavin</t>
        </is>
      </c>
      <c r="L24" s="33" t="inlineStr">
        <is>
          <t>1</t>
        </is>
      </c>
      <c r="M24" s="24" t="inlineStr">
        <is>
          <t>Not Started</t>
        </is>
      </c>
      <c r="N24" s="21" t="inlineStr">
        <is>
          <t>1</t>
        </is>
      </c>
    </row>
    <row r="25">
      <c r="A25" s="21" t="n">
        <v>24</v>
      </c>
      <c r="B25" s="21" t="inlineStr">
        <is>
          <t>Communication</t>
        </is>
      </c>
      <c r="C25" s="21" t="inlineStr">
        <is>
          <t>Email Template</t>
        </is>
      </c>
      <c r="D25" s="21" t="inlineStr">
        <is>
          <t>FLOW</t>
        </is>
      </c>
      <c r="E25" s="22" t="inlineStr">
        <is>
          <t>Medium</t>
        </is>
      </c>
      <c r="F25" s="33" t="inlineStr">
        <is>
          <t>0.75</t>
        </is>
      </c>
      <c r="G25" s="23" t="inlineStr">
        <is>
          <t>Completed</t>
        </is>
      </c>
      <c r="H25" s="21" t="inlineStr">
        <is>
          <t>Karthick</t>
        </is>
      </c>
      <c r="I25" s="33" t="inlineStr">
        <is>
          <t>1</t>
        </is>
      </c>
      <c r="J25" s="23" t="inlineStr">
        <is>
          <t>Passed</t>
        </is>
      </c>
      <c r="K25" s="21" t="inlineStr">
        <is>
          <t>Saranya</t>
        </is>
      </c>
      <c r="L25" s="33" t="inlineStr">
        <is>
          <t>1</t>
        </is>
      </c>
      <c r="M25" s="24" t="inlineStr">
        <is>
          <t>Not Started</t>
        </is>
      </c>
      <c r="N25" s="21" t="inlineStr">
        <is>
          <t>1</t>
        </is>
      </c>
    </row>
    <row r="26">
      <c r="A26" s="21" t="n">
        <v>25</v>
      </c>
      <c r="B26" s="21" t="inlineStr">
        <is>
          <t>Communication</t>
        </is>
      </c>
      <c r="C26" s="21" t="inlineStr">
        <is>
          <t>Email Campaign/SendJob</t>
        </is>
      </c>
      <c r="D26" s="21" t="inlineStr">
        <is>
          <t>FLOW</t>
        </is>
      </c>
      <c r="E26" s="22" t="inlineStr">
        <is>
          <t>Medium</t>
        </is>
      </c>
      <c r="F26" s="33" t="inlineStr">
        <is>
          <t>1</t>
        </is>
      </c>
      <c r="G26" s="23" t="inlineStr">
        <is>
          <t>Completed</t>
        </is>
      </c>
      <c r="H26" s="21" t="inlineStr">
        <is>
          <t>Saranya</t>
        </is>
      </c>
      <c r="I26" s="33" t="inlineStr">
        <is>
          <t>1.5</t>
        </is>
      </c>
      <c r="J26" s="24" t="inlineStr">
        <is>
          <t>Not Started</t>
        </is>
      </c>
      <c r="K26" s="21" t="n"/>
      <c r="L26" s="33" t="inlineStr">
        <is>
          <t>1.5</t>
        </is>
      </c>
      <c r="M26" s="24" t="inlineStr">
        <is>
          <t>Not Started</t>
        </is>
      </c>
      <c r="N26" s="21" t="inlineStr">
        <is>
          <t>1.5</t>
        </is>
      </c>
    </row>
    <row r="27">
      <c r="A27" s="21" t="n">
        <v>26</v>
      </c>
      <c r="B27" s="21" t="inlineStr">
        <is>
          <t>Communication</t>
        </is>
      </c>
      <c r="C27" s="21" t="inlineStr">
        <is>
          <t>Placeholder Definition</t>
        </is>
      </c>
      <c r="D27" s="21" t="inlineStr">
        <is>
          <t>MASTER_GRID</t>
        </is>
      </c>
      <c r="E27" s="22" t="inlineStr">
        <is>
          <t>Medium</t>
        </is>
      </c>
      <c r="F27" s="33" t="inlineStr">
        <is>
          <t>0.5</t>
        </is>
      </c>
      <c r="G27" s="23" t="inlineStr">
        <is>
          <t>Completed</t>
        </is>
      </c>
      <c r="H27" s="21" t="inlineStr">
        <is>
          <t>Karthick</t>
        </is>
      </c>
      <c r="I27" s="33" t="inlineStr">
        <is>
          <t>0.75</t>
        </is>
      </c>
      <c r="J27" s="26" t="inlineStr">
        <is>
          <t>Pending</t>
        </is>
      </c>
      <c r="K27" s="21" t="inlineStr">
        <is>
          <t>Saranya</t>
        </is>
      </c>
      <c r="L27" s="33" t="inlineStr">
        <is>
          <t>0.75</t>
        </is>
      </c>
      <c r="M27" s="24" t="inlineStr">
        <is>
          <t>Not Started</t>
        </is>
      </c>
      <c r="N27" s="21" t="inlineStr">
        <is>
          <t>0.75</t>
        </is>
      </c>
    </row>
    <row r="28">
      <c r="A28" s="21" t="n">
        <v>27</v>
      </c>
      <c r="B28" s="21" t="inlineStr">
        <is>
          <t>Communication</t>
        </is>
      </c>
      <c r="C28" s="21" t="inlineStr">
        <is>
          <t>Saved Filter</t>
        </is>
      </c>
      <c r="D28" s="21" t="inlineStr">
        <is>
          <t>FLOW</t>
        </is>
      </c>
      <c r="E28" s="22" t="inlineStr">
        <is>
          <t>Medium</t>
        </is>
      </c>
      <c r="F28" s="33" t="inlineStr">
        <is>
          <t>0.75</t>
        </is>
      </c>
      <c r="G28" s="23" t="inlineStr">
        <is>
          <t>Completed</t>
        </is>
      </c>
      <c r="H28" s="21" t="inlineStr">
        <is>
          <t>Karthick</t>
        </is>
      </c>
      <c r="I28" s="33" t="inlineStr">
        <is>
          <t>1</t>
        </is>
      </c>
      <c r="J28" s="23" t="inlineStr">
        <is>
          <t>Passed</t>
        </is>
      </c>
      <c r="K28" s="21" t="inlineStr">
        <is>
          <t>Saranya</t>
        </is>
      </c>
      <c r="L28" s="33" t="inlineStr">
        <is>
          <t>1</t>
        </is>
      </c>
      <c r="M28" s="24" t="inlineStr">
        <is>
          <t>Not Started</t>
        </is>
      </c>
      <c r="N28" s="21" t="inlineStr">
        <is>
          <t>1</t>
        </is>
      </c>
    </row>
    <row r="29">
      <c r="A29" s="21" t="n">
        <v>28</v>
      </c>
      <c r="B29" s="21" t="inlineStr">
        <is>
          <t>Communication</t>
        </is>
      </c>
      <c r="C29" s="21" t="inlineStr">
        <is>
          <t>Company Email Provider</t>
        </is>
      </c>
      <c r="D29" s="21" t="inlineStr">
        <is>
          <t>FLOW</t>
        </is>
      </c>
      <c r="E29" s="22" t="inlineStr">
        <is>
          <t>Medium</t>
        </is>
      </c>
      <c r="F29" s="33" t="inlineStr">
        <is>
          <t>0.75</t>
        </is>
      </c>
      <c r="G29" s="23" t="inlineStr">
        <is>
          <t>Completed</t>
        </is>
      </c>
      <c r="H29" s="21" t="inlineStr">
        <is>
          <t>Karthick</t>
        </is>
      </c>
      <c r="I29" s="33" t="inlineStr">
        <is>
          <t>1</t>
        </is>
      </c>
      <c r="J29" s="26" t="inlineStr">
        <is>
          <t>Pending</t>
        </is>
      </c>
      <c r="K29" s="21" t="inlineStr">
        <is>
          <t>Karthick</t>
        </is>
      </c>
      <c r="L29" s="33" t="inlineStr">
        <is>
          <t>1</t>
        </is>
      </c>
      <c r="M29" s="24" t="inlineStr">
        <is>
          <t>Not Started</t>
        </is>
      </c>
      <c r="N29" s="21" t="inlineStr">
        <is>
          <t>1</t>
        </is>
      </c>
    </row>
    <row r="30">
      <c r="A30" s="21" t="n">
        <v>29</v>
      </c>
      <c r="B30" s="21" t="inlineStr">
        <is>
          <t>Communication</t>
        </is>
      </c>
      <c r="C30" s="21" t="inlineStr">
        <is>
          <t>SMS Template</t>
        </is>
      </c>
      <c r="D30" s="21" t="inlineStr">
        <is>
          <t>FLOW</t>
        </is>
      </c>
      <c r="E30" s="27" t="inlineStr">
        <is>
          <t>High</t>
        </is>
      </c>
      <c r="F30" s="33" t="inlineStr">
        <is>
          <t>0.75</t>
        </is>
      </c>
      <c r="G30" s="23" t="inlineStr">
        <is>
          <t>Completed</t>
        </is>
      </c>
      <c r="H30" s="21" t="inlineStr">
        <is>
          <t>Karthick</t>
        </is>
      </c>
      <c r="I30" s="33" t="inlineStr">
        <is>
          <t>1</t>
        </is>
      </c>
      <c r="J30" s="26" t="inlineStr">
        <is>
          <t>Pending</t>
        </is>
      </c>
      <c r="K30" s="21" t="inlineStr">
        <is>
          <t>Saranya</t>
        </is>
      </c>
      <c r="L30" s="33" t="inlineStr">
        <is>
          <t>1</t>
        </is>
      </c>
      <c r="M30" s="24" t="inlineStr">
        <is>
          <t>Not Started</t>
        </is>
      </c>
      <c r="N30" s="21" t="inlineStr">
        <is>
          <t>1</t>
        </is>
      </c>
    </row>
    <row r="31">
      <c r="A31" s="21" t="n">
        <v>30</v>
      </c>
      <c r="B31" s="21" t="inlineStr">
        <is>
          <t>Communication</t>
        </is>
      </c>
      <c r="C31" s="21" t="inlineStr">
        <is>
          <t>SMS Campaign</t>
        </is>
      </c>
      <c r="D31" s="21" t="inlineStr">
        <is>
          <t>FLOW</t>
        </is>
      </c>
      <c r="E31" s="22" t="inlineStr">
        <is>
          <t>Medium</t>
        </is>
      </c>
      <c r="F31" s="33" t="inlineStr">
        <is>
          <t>1</t>
        </is>
      </c>
      <c r="G31" s="23" t="inlineStr">
        <is>
          <t>Completed</t>
        </is>
      </c>
      <c r="H31" s="21" t="inlineStr">
        <is>
          <t>Karthick</t>
        </is>
      </c>
      <c r="I31" s="33" t="inlineStr">
        <is>
          <t>1.5</t>
        </is>
      </c>
      <c r="J31" s="26" t="inlineStr">
        <is>
          <t>Pending</t>
        </is>
      </c>
      <c r="K31" s="21" t="inlineStr">
        <is>
          <t>Saranya</t>
        </is>
      </c>
      <c r="L31" s="33" t="inlineStr">
        <is>
          <t>1.5</t>
        </is>
      </c>
      <c r="M31" s="24" t="inlineStr">
        <is>
          <t>Not Started</t>
        </is>
      </c>
      <c r="N31" s="21" t="inlineStr">
        <is>
          <t>1.5</t>
        </is>
      </c>
    </row>
    <row r="32">
      <c r="A32" s="21" t="n">
        <v>31</v>
      </c>
      <c r="B32" s="21" t="inlineStr">
        <is>
          <t>Communication</t>
        </is>
      </c>
      <c r="C32" s="21" t="inlineStr">
        <is>
          <t>WhatsApp Template</t>
        </is>
      </c>
      <c r="D32" s="21" t="inlineStr">
        <is>
          <t>FLOW</t>
        </is>
      </c>
      <c r="E32" s="27" t="inlineStr">
        <is>
          <t>High</t>
        </is>
      </c>
      <c r="F32" s="33" t="inlineStr">
        <is>
          <t>0.75</t>
        </is>
      </c>
      <c r="G32" s="23" t="inlineStr">
        <is>
          <t>Completed</t>
        </is>
      </c>
      <c r="H32" s="21" t="inlineStr">
        <is>
          <t>Karthick</t>
        </is>
      </c>
      <c r="I32" s="33" t="inlineStr">
        <is>
          <t>1</t>
        </is>
      </c>
      <c r="J32" s="26" t="inlineStr">
        <is>
          <t>Pending</t>
        </is>
      </c>
      <c r="K32" s="21" t="inlineStr">
        <is>
          <t>Karthick</t>
        </is>
      </c>
      <c r="L32" s="33" t="inlineStr">
        <is>
          <t>1</t>
        </is>
      </c>
      <c r="M32" s="24" t="inlineStr">
        <is>
          <t>Not Started</t>
        </is>
      </c>
      <c r="N32" s="21" t="inlineStr">
        <is>
          <t>1</t>
        </is>
      </c>
    </row>
    <row r="33">
      <c r="A33" s="21" t="n">
        <v>32</v>
      </c>
      <c r="B33" s="21" t="inlineStr">
        <is>
          <t>Communication</t>
        </is>
      </c>
      <c r="C33" s="21" t="inlineStr">
        <is>
          <t>WhatsApp Campaign</t>
        </is>
      </c>
      <c r="D33" s="21" t="inlineStr">
        <is>
          <t>FLOW</t>
        </is>
      </c>
      <c r="E33" s="22" t="inlineStr">
        <is>
          <t>Medium</t>
        </is>
      </c>
      <c r="F33" s="33" t="inlineStr">
        <is>
          <t>1</t>
        </is>
      </c>
      <c r="G33" s="23" t="inlineStr">
        <is>
          <t>Completed</t>
        </is>
      </c>
      <c r="H33" s="21" t="inlineStr">
        <is>
          <t>Kavin</t>
        </is>
      </c>
      <c r="I33" s="33" t="inlineStr">
        <is>
          <t>1.5</t>
        </is>
      </c>
      <c r="J33" s="24" t="inlineStr">
        <is>
          <t>Not Started</t>
        </is>
      </c>
      <c r="K33" s="21" t="inlineStr">
        <is>
          <t>Kavin</t>
        </is>
      </c>
      <c r="L33" s="33" t="inlineStr">
        <is>
          <t>1.5</t>
        </is>
      </c>
      <c r="M33" s="24" t="inlineStr">
        <is>
          <t>Not Started</t>
        </is>
      </c>
      <c r="N33" s="21" t="inlineStr">
        <is>
          <t>1.5</t>
        </is>
      </c>
    </row>
    <row r="34">
      <c r="A34" s="21" t="n">
        <v>33</v>
      </c>
      <c r="B34" s="21" t="inlineStr">
        <is>
          <t>Communication</t>
        </is>
      </c>
      <c r="C34" s="21" t="inlineStr">
        <is>
          <t>WhatsApp Conversations</t>
        </is>
      </c>
      <c r="D34" s="21" t="inlineStr">
        <is>
          <t>FLOW</t>
        </is>
      </c>
      <c r="E34" s="22" t="inlineStr">
        <is>
          <t>Medium</t>
        </is>
      </c>
      <c r="F34" s="33" t="inlineStr">
        <is>
          <t>1</t>
        </is>
      </c>
      <c r="G34" s="24" t="inlineStr">
        <is>
          <t>Not Started</t>
        </is>
      </c>
      <c r="H34" s="21" t="inlineStr">
        <is>
          <t>Not Started</t>
        </is>
      </c>
      <c r="I34" s="33" t="inlineStr">
        <is>
          <t>1.5</t>
        </is>
      </c>
      <c r="J34" s="24" t="inlineStr">
        <is>
          <t>Not Started</t>
        </is>
      </c>
      <c r="K34" s="21" t="inlineStr">
        <is>
          <t>Kavin</t>
        </is>
      </c>
      <c r="L34" s="33" t="inlineStr">
        <is>
          <t>1.5</t>
        </is>
      </c>
      <c r="M34" s="24" t="inlineStr">
        <is>
          <t>Not Started</t>
        </is>
      </c>
      <c r="N34" s="21" t="inlineStr">
        <is>
          <t>1.5</t>
        </is>
      </c>
    </row>
    <row r="35">
      <c r="A35" s="21" t="n">
        <v>34</v>
      </c>
      <c r="B35" s="21" t="inlineStr">
        <is>
          <t>Communication</t>
        </is>
      </c>
      <c r="C35" s="21" t="inlineStr">
        <is>
          <t>WhatsApp Setup</t>
        </is>
      </c>
      <c r="D35" s="21" t="inlineStr">
        <is>
          <t>Config</t>
        </is>
      </c>
      <c r="E35" s="27" t="inlineStr">
        <is>
          <t>High</t>
        </is>
      </c>
      <c r="F35" s="33" t="inlineStr">
        <is>
          <t>0.75</t>
        </is>
      </c>
      <c r="G35" s="23" t="inlineStr">
        <is>
          <t>Completed</t>
        </is>
      </c>
      <c r="H35" s="21" t="inlineStr">
        <is>
          <t>Kavin</t>
        </is>
      </c>
      <c r="I35" s="33" t="inlineStr">
        <is>
          <t>1</t>
        </is>
      </c>
      <c r="J35" s="24" t="inlineStr">
        <is>
          <t>Not Started</t>
        </is>
      </c>
      <c r="K35" s="21" t="inlineStr">
        <is>
          <t>Kavin</t>
        </is>
      </c>
      <c r="L35" s="33" t="inlineStr">
        <is>
          <t>1</t>
        </is>
      </c>
      <c r="M35" s="24" t="inlineStr">
        <is>
          <t>Not Started</t>
        </is>
      </c>
      <c r="N35" s="21" t="inlineStr">
        <is>
          <t>1</t>
        </is>
      </c>
    </row>
    <row r="36">
      <c r="A36" s="21" t="n">
        <v>35</v>
      </c>
      <c r="B36" s="21" t="inlineStr">
        <is>
          <t>Communication</t>
        </is>
      </c>
      <c r="C36" s="21" t="inlineStr">
        <is>
          <t>Notification Center</t>
        </is>
      </c>
      <c r="D36" s="21" t="inlineStr">
        <is>
          <t>FLOW</t>
        </is>
      </c>
      <c r="E36" s="22" t="inlineStr">
        <is>
          <t>Medium</t>
        </is>
      </c>
      <c r="F36" s="33" t="inlineStr">
        <is>
          <t>0.75</t>
        </is>
      </c>
      <c r="G36" s="23" t="inlineStr">
        <is>
          <t>Completed</t>
        </is>
      </c>
      <c r="H36" s="21" t="inlineStr">
        <is>
          <t>Karthick</t>
        </is>
      </c>
      <c r="I36" s="33" t="inlineStr">
        <is>
          <t>1</t>
        </is>
      </c>
      <c r="J36" s="23" t="inlineStr">
        <is>
          <t>Passed</t>
        </is>
      </c>
      <c r="K36" s="21" t="inlineStr">
        <is>
          <t>Kavin</t>
        </is>
      </c>
      <c r="L36" s="33" t="inlineStr">
        <is>
          <t>1</t>
        </is>
      </c>
      <c r="M36" s="24" t="inlineStr">
        <is>
          <t>Not Started</t>
        </is>
      </c>
      <c r="N36" s="21" t="inlineStr">
        <is>
          <t>1</t>
        </is>
      </c>
    </row>
    <row r="37">
      <c r="A37" s="21" t="n">
        <v>36</v>
      </c>
      <c r="B37" s="21" t="inlineStr">
        <is>
          <t>Communication</t>
        </is>
      </c>
      <c r="C37" s="21" t="inlineStr">
        <is>
          <t>Notification Templates</t>
        </is>
      </c>
      <c r="D37" s="21" t="inlineStr">
        <is>
          <t>FLOW</t>
        </is>
      </c>
      <c r="E37" s="27" t="inlineStr">
        <is>
          <t>High</t>
        </is>
      </c>
      <c r="F37" s="33" t="inlineStr">
        <is>
          <t>0.75</t>
        </is>
      </c>
      <c r="G37" s="23" t="inlineStr">
        <is>
          <t>Completed</t>
        </is>
      </c>
      <c r="H37" s="21" t="inlineStr">
        <is>
          <t>Karthick</t>
        </is>
      </c>
      <c r="I37" s="33" t="inlineStr">
        <is>
          <t>1</t>
        </is>
      </c>
      <c r="J37" s="23" t="inlineStr">
        <is>
          <t>Passed</t>
        </is>
      </c>
      <c r="K37" s="21" t="inlineStr">
        <is>
          <t>Kavin</t>
        </is>
      </c>
      <c r="L37" s="33" t="inlineStr">
        <is>
          <t>1</t>
        </is>
      </c>
      <c r="M37" s="24" t="inlineStr">
        <is>
          <t>Not Started</t>
        </is>
      </c>
      <c r="N37" s="21" t="inlineStr">
        <is>
          <t>1</t>
        </is>
      </c>
    </row>
    <row r="38">
      <c r="A38" s="21" t="n">
        <v>37</v>
      </c>
      <c r="B38" s="21" t="inlineStr">
        <is>
          <t>Communication</t>
        </is>
      </c>
      <c r="C38" s="21" t="inlineStr">
        <is>
          <t>Automation Workflow</t>
        </is>
      </c>
      <c r="D38" s="21" t="inlineStr">
        <is>
          <t>FLOW</t>
        </is>
      </c>
      <c r="E38" s="29" t="inlineStr">
        <is>
          <t>Low</t>
        </is>
      </c>
      <c r="F38" s="33" t="inlineStr">
        <is>
          <t>1</t>
        </is>
      </c>
      <c r="G38" s="24" t="inlineStr">
        <is>
          <t>Not Started</t>
        </is>
      </c>
      <c r="H38" s="21" t="inlineStr">
        <is>
          <t>Not Started</t>
        </is>
      </c>
      <c r="I38" s="33" t="inlineStr">
        <is>
          <t>1.5</t>
        </is>
      </c>
      <c r="J38" s="24" t="inlineStr">
        <is>
          <t>Not Started</t>
        </is>
      </c>
      <c r="K38" s="21" t="n"/>
      <c r="L38" s="33" t="inlineStr">
        <is>
          <t>1.5</t>
        </is>
      </c>
      <c r="M38" s="24" t="inlineStr">
        <is>
          <t>Not Started</t>
        </is>
      </c>
      <c r="N38" s="21" t="inlineStr">
        <is>
          <t>1.5</t>
        </is>
      </c>
    </row>
    <row r="39">
      <c r="A39" s="21" t="n">
        <v>38</v>
      </c>
      <c r="B39" s="21" t="inlineStr">
        <is>
          <t>Communication</t>
        </is>
      </c>
      <c r="C39" s="21" t="inlineStr">
        <is>
          <t>Email Analytics</t>
        </is>
      </c>
      <c r="D39" s="21" t="inlineStr">
        <is>
          <t>Dashboard</t>
        </is>
      </c>
      <c r="E39" s="29" t="inlineStr">
        <is>
          <t>Low</t>
        </is>
      </c>
      <c r="F39" s="33" t="inlineStr">
        <is>
          <t>0.75</t>
        </is>
      </c>
      <c r="G39" s="28" t="inlineStr">
        <is>
          <t>In Progress (Partial)</t>
        </is>
      </c>
      <c r="H39" s="21" t="inlineStr">
        <is>
          <t>Karthick</t>
        </is>
      </c>
      <c r="I39" s="33" t="inlineStr">
        <is>
          <t>1</t>
        </is>
      </c>
      <c r="J39" s="30" t="inlineStr">
        <is>
          <t>N/A (Upcoming)</t>
        </is>
      </c>
      <c r="K39" s="21" t="n"/>
      <c r="L39" s="33" t="inlineStr">
        <is>
          <t>1</t>
        </is>
      </c>
      <c r="M39" s="30" t="inlineStr">
        <is>
          <t>N/A (Upcoming)</t>
        </is>
      </c>
      <c r="N39" s="21" t="inlineStr">
        <is>
          <t>1</t>
        </is>
      </c>
    </row>
    <row r="40">
      <c r="A40" s="21" t="n">
        <v>39</v>
      </c>
      <c r="B40" s="21" t="inlineStr">
        <is>
          <t>Organization</t>
        </is>
      </c>
      <c r="C40" s="21" t="inlineStr">
        <is>
          <t>Campaign</t>
        </is>
      </c>
      <c r="D40" s="21" t="inlineStr">
        <is>
          <t>FLOW</t>
        </is>
      </c>
      <c r="E40" s="22" t="inlineStr">
        <is>
          <t>Medium</t>
        </is>
      </c>
      <c r="F40" s="33" t="inlineStr">
        <is>
          <t>0.75</t>
        </is>
      </c>
      <c r="G40" s="23" t="inlineStr">
        <is>
          <t>Completed</t>
        </is>
      </c>
      <c r="H40" s="21" t="inlineStr">
        <is>
          <t>Karthick</t>
        </is>
      </c>
      <c r="I40" s="33" t="inlineStr">
        <is>
          <t>1</t>
        </is>
      </c>
      <c r="J40" s="23" t="inlineStr">
        <is>
          <t>Passed</t>
        </is>
      </c>
      <c r="K40" s="21" t="inlineStr">
        <is>
          <t>Kavin</t>
        </is>
      </c>
      <c r="L40" s="33" t="inlineStr">
        <is>
          <t>1</t>
        </is>
      </c>
      <c r="M40" s="24" t="inlineStr">
        <is>
          <t>Not Started</t>
        </is>
      </c>
      <c r="N40" s="21" t="inlineStr">
        <is>
          <t>1</t>
        </is>
      </c>
    </row>
    <row r="41">
      <c r="A41" s="21" t="n">
        <v>40</v>
      </c>
      <c r="B41" s="21" t="inlineStr">
        <is>
          <t>Organization</t>
        </is>
      </c>
      <c r="C41" s="21" t="inlineStr">
        <is>
          <t>Event</t>
        </is>
      </c>
      <c r="D41" s="21" t="inlineStr">
        <is>
          <t>FLOW</t>
        </is>
      </c>
      <c r="E41" s="22" t="inlineStr">
        <is>
          <t>Medium</t>
        </is>
      </c>
      <c r="F41" s="33" t="inlineStr">
        <is>
          <t>1</t>
        </is>
      </c>
      <c r="G41" s="23" t="inlineStr">
        <is>
          <t>Completed</t>
        </is>
      </c>
      <c r="H41" s="21" t="inlineStr">
        <is>
          <t>Karthick</t>
        </is>
      </c>
      <c r="I41" s="33" t="inlineStr">
        <is>
          <t>1.5</t>
        </is>
      </c>
      <c r="J41" s="23" t="inlineStr">
        <is>
          <t>Passed</t>
        </is>
      </c>
      <c r="K41" s="21" t="inlineStr">
        <is>
          <t>Kavin</t>
        </is>
      </c>
      <c r="L41" s="33" t="inlineStr">
        <is>
          <t>1.5</t>
        </is>
      </c>
      <c r="M41" s="24" t="inlineStr">
        <is>
          <t>Not Started</t>
        </is>
      </c>
      <c r="N41" s="21" t="inlineStr">
        <is>
          <t>1.5</t>
        </is>
      </c>
    </row>
    <row r="42">
      <c r="A42" s="21" t="n">
        <v>41</v>
      </c>
      <c r="B42" s="21" t="inlineStr">
        <is>
          <t>Organization</t>
        </is>
      </c>
      <c r="C42" s="21" t="inlineStr">
        <is>
          <t>Branch</t>
        </is>
      </c>
      <c r="D42" s="21" t="inlineStr">
        <is>
          <t>MASTER_GRID</t>
        </is>
      </c>
      <c r="E42" s="22" t="inlineStr">
        <is>
          <t>Medium</t>
        </is>
      </c>
      <c r="F42" s="33" t="inlineStr">
        <is>
          <t>0.5</t>
        </is>
      </c>
      <c r="G42" s="23" t="inlineStr">
        <is>
          <t>Completed</t>
        </is>
      </c>
      <c r="H42" s="21" t="inlineStr">
        <is>
          <t>Karthick</t>
        </is>
      </c>
      <c r="I42" s="33" t="inlineStr">
        <is>
          <t>0.75</t>
        </is>
      </c>
      <c r="J42" s="23" t="inlineStr">
        <is>
          <t>Passed</t>
        </is>
      </c>
      <c r="K42" s="21" t="inlineStr">
        <is>
          <t>Kavin</t>
        </is>
      </c>
      <c r="L42" s="33" t="inlineStr">
        <is>
          <t>0.75</t>
        </is>
      </c>
      <c r="M42" s="24" t="inlineStr">
        <is>
          <t>Not Started</t>
        </is>
      </c>
      <c r="N42" s="21" t="inlineStr">
        <is>
          <t>0.75</t>
        </is>
      </c>
    </row>
    <row r="43">
      <c r="A43" s="21" t="n">
        <v>42</v>
      </c>
      <c r="B43" s="21" t="inlineStr">
        <is>
          <t>Organization</t>
        </is>
      </c>
      <c r="C43" s="21" t="inlineStr">
        <is>
          <t>Staff (combined: Staff + User Role)</t>
        </is>
      </c>
      <c r="D43" s="21" t="inlineStr">
        <is>
          <t>FLOW</t>
        </is>
      </c>
      <c r="E43" s="22" t="inlineStr">
        <is>
          <t>Medium</t>
        </is>
      </c>
      <c r="F43" s="33" t="inlineStr">
        <is>
          <t>1</t>
        </is>
      </c>
      <c r="G43" s="28" t="inlineStr">
        <is>
          <t>In Progress (Partial)</t>
        </is>
      </c>
      <c r="H43" s="21" t="inlineStr">
        <is>
          <t>Not Started</t>
        </is>
      </c>
      <c r="I43" s="33" t="inlineStr">
        <is>
          <t>1.5</t>
        </is>
      </c>
      <c r="J43" s="24" t="inlineStr">
        <is>
          <t>Not Started</t>
        </is>
      </c>
      <c r="K43" s="21" t="n"/>
      <c r="L43" s="33" t="inlineStr">
        <is>
          <t>1.5</t>
        </is>
      </c>
      <c r="M43" s="24" t="inlineStr">
        <is>
          <t>Not Started</t>
        </is>
      </c>
      <c r="N43" s="21" t="inlineStr">
        <is>
          <t>1.5</t>
        </is>
      </c>
    </row>
    <row r="44">
      <c r="A44" s="21" t="n">
        <v>43</v>
      </c>
      <c r="B44" s="21" t="inlineStr">
        <is>
          <t>Organization</t>
        </is>
      </c>
      <c r="C44" s="21" t="inlineStr">
        <is>
          <t>Staff Category</t>
        </is>
      </c>
      <c r="D44" s="21" t="inlineStr">
        <is>
          <t>MASTER_GRID</t>
        </is>
      </c>
      <c r="E44" s="22" t="inlineStr">
        <is>
          <t>Medium</t>
        </is>
      </c>
      <c r="F44" s="33" t="inlineStr">
        <is>
          <t>0.5</t>
        </is>
      </c>
      <c r="G44" s="23" t="inlineStr">
        <is>
          <t>Completed</t>
        </is>
      </c>
      <c r="H44" s="21" t="inlineStr">
        <is>
          <t>Karthick</t>
        </is>
      </c>
      <c r="I44" s="33" t="inlineStr">
        <is>
          <t>0.75</t>
        </is>
      </c>
      <c r="J44" s="26" t="inlineStr">
        <is>
          <t>Pending</t>
        </is>
      </c>
      <c r="K44" s="21" t="inlineStr">
        <is>
          <t>Saranya</t>
        </is>
      </c>
      <c r="L44" s="33" t="inlineStr">
        <is>
          <t>0.75</t>
        </is>
      </c>
      <c r="M44" s="24" t="inlineStr">
        <is>
          <t>Not Started</t>
        </is>
      </c>
      <c r="N44" s="21" t="inlineStr">
        <is>
          <t>0.75</t>
        </is>
      </c>
    </row>
    <row r="45">
      <c r="A45" s="21" t="n">
        <v>44</v>
      </c>
      <c r="B45" s="21" t="inlineStr">
        <is>
          <t>Organization</t>
        </is>
      </c>
      <c r="C45" s="21" t="inlineStr">
        <is>
          <t>Organizational Unit</t>
        </is>
      </c>
      <c r="D45" s="21" t="inlineStr">
        <is>
          <t>FLOW</t>
        </is>
      </c>
      <c r="E45" s="22" t="inlineStr">
        <is>
          <t>Medium</t>
        </is>
      </c>
      <c r="F45" s="33" t="inlineStr">
        <is>
          <t>0.75</t>
        </is>
      </c>
      <c r="G45" s="23" t="inlineStr">
        <is>
          <t>Completed</t>
        </is>
      </c>
      <c r="H45" s="21" t="inlineStr">
        <is>
          <t>Karthick</t>
        </is>
      </c>
      <c r="I45" s="33" t="inlineStr">
        <is>
          <t>1</t>
        </is>
      </c>
      <c r="J45" s="23" t="inlineStr">
        <is>
          <t>Passed</t>
        </is>
      </c>
      <c r="K45" s="21" t="inlineStr">
        <is>
          <t>Kavin</t>
        </is>
      </c>
      <c r="L45" s="33" t="inlineStr">
        <is>
          <t>1</t>
        </is>
      </c>
      <c r="M45" s="24" t="inlineStr">
        <is>
          <t>Not Started</t>
        </is>
      </c>
      <c r="N45" s="21" t="inlineStr">
        <is>
          <t>1</t>
        </is>
      </c>
    </row>
    <row r="46">
      <c r="A46" s="21" t="n">
        <v>45</v>
      </c>
      <c r="B46" s="21" t="inlineStr">
        <is>
          <t>Organization</t>
        </is>
      </c>
      <c r="C46" s="21" t="inlineStr">
        <is>
          <t>Company</t>
        </is>
      </c>
      <c r="D46" s="21" t="inlineStr">
        <is>
          <t>FLOW</t>
        </is>
      </c>
      <c r="E46" s="22" t="inlineStr">
        <is>
          <t>Medium</t>
        </is>
      </c>
      <c r="F46" s="33" t="inlineStr">
        <is>
          <t>0.75</t>
        </is>
      </c>
      <c r="G46" s="24" t="inlineStr">
        <is>
          <t>Not Started</t>
        </is>
      </c>
      <c r="H46" s="21" t="inlineStr">
        <is>
          <t>Not Started</t>
        </is>
      </c>
      <c r="I46" s="33" t="inlineStr">
        <is>
          <t>1</t>
        </is>
      </c>
      <c r="J46" s="24" t="inlineStr">
        <is>
          <t>Not Started</t>
        </is>
      </c>
      <c r="K46" s="21" t="n"/>
      <c r="L46" s="33" t="inlineStr">
        <is>
          <t>1</t>
        </is>
      </c>
      <c r="M46" s="24" t="inlineStr">
        <is>
          <t>Not Started</t>
        </is>
      </c>
      <c r="N46" s="21" t="inlineStr">
        <is>
          <t>1</t>
        </is>
      </c>
    </row>
    <row r="47">
      <c r="A47" s="21" t="n">
        <v>46</v>
      </c>
      <c r="B47" s="21" t="inlineStr">
        <is>
          <t>Organization</t>
        </is>
      </c>
      <c r="C47" s="21" t="inlineStr">
        <is>
          <t>Event Ticketing</t>
        </is>
      </c>
      <c r="D47" s="21" t="inlineStr">
        <is>
          <t>FLOW</t>
        </is>
      </c>
      <c r="E47" s="22" t="inlineStr">
        <is>
          <t>Medium</t>
        </is>
      </c>
      <c r="F47" s="33" t="inlineStr">
        <is>
          <t>1</t>
        </is>
      </c>
      <c r="G47" s="23" t="inlineStr">
        <is>
          <t>Completed</t>
        </is>
      </c>
      <c r="H47" s="21" t="inlineStr">
        <is>
          <t>Karthick</t>
        </is>
      </c>
      <c r="I47" s="33" t="inlineStr">
        <is>
          <t>1.5</t>
        </is>
      </c>
      <c r="J47" s="26" t="inlineStr">
        <is>
          <t>Pending</t>
        </is>
      </c>
      <c r="K47" s="21" t="inlineStr">
        <is>
          <t>Karthick</t>
        </is>
      </c>
      <c r="L47" s="33" t="inlineStr">
        <is>
          <t>1.5</t>
        </is>
      </c>
      <c r="M47" s="24" t="inlineStr">
        <is>
          <t>Not Started</t>
        </is>
      </c>
      <c r="N47" s="21" t="inlineStr">
        <is>
          <t>1.5</t>
        </is>
      </c>
    </row>
    <row r="48">
      <c r="A48" s="21" t="n">
        <v>47</v>
      </c>
      <c r="B48" s="21" t="inlineStr">
        <is>
          <t>Organization</t>
        </is>
      </c>
      <c r="C48" s="21" t="inlineStr">
        <is>
          <t>Event Analytics</t>
        </is>
      </c>
      <c r="D48" s="21" t="inlineStr">
        <is>
          <t>Dashboard</t>
        </is>
      </c>
      <c r="E48" s="29" t="inlineStr">
        <is>
          <t>Low</t>
        </is>
      </c>
      <c r="F48" s="33" t="inlineStr">
        <is>
          <t>0.75</t>
        </is>
      </c>
      <c r="G48" s="28" t="inlineStr">
        <is>
          <t>In Progress (Partial)</t>
        </is>
      </c>
      <c r="H48" s="21" t="inlineStr">
        <is>
          <t>Karthick</t>
        </is>
      </c>
      <c r="I48" s="33" t="inlineStr">
        <is>
          <t>1</t>
        </is>
      </c>
      <c r="J48" s="30" t="inlineStr">
        <is>
          <t>N/A (Upcoming)</t>
        </is>
      </c>
      <c r="K48" s="21" t="n"/>
      <c r="L48" s="33" t="inlineStr">
        <is>
          <t>1</t>
        </is>
      </c>
      <c r="M48" s="30" t="inlineStr">
        <is>
          <t>N/A (Upcoming)</t>
        </is>
      </c>
      <c r="N48" s="21" t="inlineStr">
        <is>
          <t>1</t>
        </is>
      </c>
    </row>
    <row r="49">
      <c r="A49" s="21" t="n">
        <v>48</v>
      </c>
      <c r="B49" s="21" t="inlineStr">
        <is>
          <t>Organization</t>
        </is>
      </c>
      <c r="C49" s="21" t="inlineStr">
        <is>
          <t>Auction Management</t>
        </is>
      </c>
      <c r="D49" s="21" t="inlineStr">
        <is>
          <t>FLOW</t>
        </is>
      </c>
      <c r="E49" s="22" t="inlineStr">
        <is>
          <t>Medium</t>
        </is>
      </c>
      <c r="F49" s="33" t="inlineStr">
        <is>
          <t>1</t>
        </is>
      </c>
      <c r="G49" s="23" t="inlineStr">
        <is>
          <t>Completed</t>
        </is>
      </c>
      <c r="H49" s="21" t="inlineStr">
        <is>
          <t>Karthick</t>
        </is>
      </c>
      <c r="I49" s="33" t="inlineStr">
        <is>
          <t>1.5</t>
        </is>
      </c>
      <c r="J49" s="31" t="inlineStr">
        <is>
          <t>In Testing</t>
        </is>
      </c>
      <c r="K49" s="21" t="inlineStr">
        <is>
          <t>Karthick</t>
        </is>
      </c>
      <c r="L49" s="33" t="inlineStr">
        <is>
          <t>1.5</t>
        </is>
      </c>
      <c r="M49" s="24" t="inlineStr">
        <is>
          <t>Not Started</t>
        </is>
      </c>
      <c r="N49" s="21" t="inlineStr">
        <is>
          <t>1.5</t>
        </is>
      </c>
    </row>
    <row r="50">
      <c r="A50" s="21" t="n">
        <v>49</v>
      </c>
      <c r="B50" s="21" t="inlineStr">
        <is>
          <t>Case Management</t>
        </is>
      </c>
      <c r="C50" s="21" t="inlineStr">
        <is>
          <t>Beneficiary</t>
        </is>
      </c>
      <c r="D50" s="21" t="inlineStr">
        <is>
          <t>FLOW</t>
        </is>
      </c>
      <c r="E50" s="27" t="inlineStr">
        <is>
          <t>High</t>
        </is>
      </c>
      <c r="F50" s="33" t="inlineStr">
        <is>
          <t>1</t>
        </is>
      </c>
      <c r="G50" s="23" t="inlineStr">
        <is>
          <t>Completed</t>
        </is>
      </c>
      <c r="H50" s="21" t="inlineStr">
        <is>
          <t>Karthick</t>
        </is>
      </c>
      <c r="I50" s="33" t="inlineStr">
        <is>
          <t>1.5</t>
        </is>
      </c>
      <c r="J50" s="26" t="inlineStr">
        <is>
          <t>Pending</t>
        </is>
      </c>
      <c r="K50" s="21" t="inlineStr">
        <is>
          <t>Saranya</t>
        </is>
      </c>
      <c r="L50" s="33" t="inlineStr">
        <is>
          <t>1.5</t>
        </is>
      </c>
      <c r="M50" s="24" t="inlineStr">
        <is>
          <t>Not Started</t>
        </is>
      </c>
      <c r="N50" s="21" t="inlineStr">
        <is>
          <t>1.5</t>
        </is>
      </c>
    </row>
    <row r="51">
      <c r="A51" s="21" t="n">
        <v>50</v>
      </c>
      <c r="B51" s="21" t="inlineStr">
        <is>
          <t>Case Management</t>
        </is>
      </c>
      <c r="C51" s="21" t="inlineStr">
        <is>
          <t>Case</t>
        </is>
      </c>
      <c r="D51" s="21" t="inlineStr">
        <is>
          <t>FLOW</t>
        </is>
      </c>
      <c r="E51" s="22" t="inlineStr">
        <is>
          <t>Medium</t>
        </is>
      </c>
      <c r="F51" s="33" t="inlineStr">
        <is>
          <t>1</t>
        </is>
      </c>
      <c r="G51" s="23" t="inlineStr">
        <is>
          <t>Completed</t>
        </is>
      </c>
      <c r="H51" s="21" t="inlineStr">
        <is>
          <t>Karthick</t>
        </is>
      </c>
      <c r="I51" s="33" t="inlineStr">
        <is>
          <t>1.5</t>
        </is>
      </c>
      <c r="J51" s="26" t="inlineStr">
        <is>
          <t>Pending</t>
        </is>
      </c>
      <c r="K51" s="21" t="inlineStr">
        <is>
          <t>Karthick</t>
        </is>
      </c>
      <c r="L51" s="33" t="inlineStr">
        <is>
          <t>1.5</t>
        </is>
      </c>
      <c r="M51" s="24" t="inlineStr">
        <is>
          <t>Not Started</t>
        </is>
      </c>
      <c r="N51" s="21" t="inlineStr">
        <is>
          <t>1.5</t>
        </is>
      </c>
    </row>
    <row r="52">
      <c r="A52" s="21" t="n">
        <v>51</v>
      </c>
      <c r="B52" s="21" t="inlineStr">
        <is>
          <t>Case Management</t>
        </is>
      </c>
      <c r="C52" s="21" t="inlineStr">
        <is>
          <t>Program</t>
        </is>
      </c>
      <c r="D52" s="21" t="inlineStr">
        <is>
          <t>MASTER_GRID</t>
        </is>
      </c>
      <c r="E52" s="27" t="inlineStr">
        <is>
          <t>High</t>
        </is>
      </c>
      <c r="F52" s="33" t="inlineStr">
        <is>
          <t>0.75</t>
        </is>
      </c>
      <c r="G52" s="23" t="inlineStr">
        <is>
          <t>Completed</t>
        </is>
      </c>
      <c r="H52" s="21" t="inlineStr">
        <is>
          <t>Karthick</t>
        </is>
      </c>
      <c r="I52" s="33" t="inlineStr">
        <is>
          <t>1</t>
        </is>
      </c>
      <c r="J52" s="26" t="inlineStr">
        <is>
          <t>Pending</t>
        </is>
      </c>
      <c r="K52" s="21" t="inlineStr">
        <is>
          <t>Karthick</t>
        </is>
      </c>
      <c r="L52" s="33" t="inlineStr">
        <is>
          <t>1</t>
        </is>
      </c>
      <c r="M52" s="24" t="inlineStr">
        <is>
          <t>Not Started</t>
        </is>
      </c>
      <c r="N52" s="21" t="inlineStr">
        <is>
          <t>1</t>
        </is>
      </c>
    </row>
    <row r="53">
      <c r="A53" s="21" t="n">
        <v>52</v>
      </c>
      <c r="B53" s="21" t="inlineStr">
        <is>
          <t>Case Management</t>
        </is>
      </c>
      <c r="C53" s="21" t="inlineStr">
        <is>
          <t>Case Dashboard</t>
        </is>
      </c>
      <c r="D53" s="21" t="inlineStr">
        <is>
          <t>Dashboard</t>
        </is>
      </c>
      <c r="E53" s="29" t="inlineStr">
        <is>
          <t>Low</t>
        </is>
      </c>
      <c r="F53" s="33" t="inlineStr">
        <is>
          <t>0.75</t>
        </is>
      </c>
      <c r="G53" s="23" t="inlineStr">
        <is>
          <t>Completed</t>
        </is>
      </c>
      <c r="H53" s="21" t="inlineStr">
        <is>
          <t>Karthick</t>
        </is>
      </c>
      <c r="I53" s="33" t="inlineStr">
        <is>
          <t>1</t>
        </is>
      </c>
      <c r="J53" s="30" t="inlineStr">
        <is>
          <t>N/A (Upcoming)</t>
        </is>
      </c>
      <c r="K53" s="21" t="n"/>
      <c r="L53" s="33" t="inlineStr">
        <is>
          <t>1</t>
        </is>
      </c>
      <c r="M53" s="30" t="inlineStr">
        <is>
          <t>N/A (Upcoming)</t>
        </is>
      </c>
      <c r="N53" s="21" t="inlineStr">
        <is>
          <t>1</t>
        </is>
      </c>
    </row>
    <row r="54">
      <c r="A54" s="21" t="n">
        <v>53</v>
      </c>
      <c r="B54" s="21" t="inlineStr">
        <is>
          <t>Volunteer</t>
        </is>
      </c>
      <c r="C54" s="21" t="inlineStr">
        <is>
          <t>Volunteer</t>
        </is>
      </c>
      <c r="D54" s="21" t="inlineStr">
        <is>
          <t>FLOW</t>
        </is>
      </c>
      <c r="E54" s="27" t="inlineStr">
        <is>
          <t>High</t>
        </is>
      </c>
      <c r="F54" s="33" t="inlineStr">
        <is>
          <t>1</t>
        </is>
      </c>
      <c r="G54" s="23" t="inlineStr">
        <is>
          <t>Completed</t>
        </is>
      </c>
      <c r="H54" s="21" t="inlineStr">
        <is>
          <t>Karthick</t>
        </is>
      </c>
      <c r="I54" s="33" t="inlineStr">
        <is>
          <t>1.5</t>
        </is>
      </c>
      <c r="J54" s="23" t="inlineStr">
        <is>
          <t>Passed</t>
        </is>
      </c>
      <c r="K54" s="21" t="inlineStr">
        <is>
          <t>Kavin</t>
        </is>
      </c>
      <c r="L54" s="33" t="inlineStr">
        <is>
          <t>1.5</t>
        </is>
      </c>
      <c r="M54" s="24" t="inlineStr">
        <is>
          <t>Not Started</t>
        </is>
      </c>
      <c r="N54" s="21" t="inlineStr">
        <is>
          <t>1.5</t>
        </is>
      </c>
    </row>
    <row r="55">
      <c r="A55" s="21" t="n">
        <v>54</v>
      </c>
      <c r="B55" s="21" t="inlineStr">
        <is>
          <t>Volunteer</t>
        </is>
      </c>
      <c r="C55" s="21" t="inlineStr">
        <is>
          <t>Volunteer Schedule</t>
        </is>
      </c>
      <c r="D55" s="21" t="inlineStr">
        <is>
          <t>FLOW</t>
        </is>
      </c>
      <c r="E55" s="22" t="inlineStr">
        <is>
          <t>Medium</t>
        </is>
      </c>
      <c r="F55" s="33" t="inlineStr">
        <is>
          <t>0.75</t>
        </is>
      </c>
      <c r="G55" s="23" t="inlineStr">
        <is>
          <t>Completed</t>
        </is>
      </c>
      <c r="H55" s="21" t="inlineStr">
        <is>
          <t>Karthick</t>
        </is>
      </c>
      <c r="I55" s="33" t="inlineStr">
        <is>
          <t>1</t>
        </is>
      </c>
      <c r="J55" s="23" t="inlineStr">
        <is>
          <t>Passed</t>
        </is>
      </c>
      <c r="K55" s="21" t="inlineStr">
        <is>
          <t>Kavin</t>
        </is>
      </c>
      <c r="L55" s="33" t="inlineStr">
        <is>
          <t>1</t>
        </is>
      </c>
      <c r="M55" s="24" t="inlineStr">
        <is>
          <t>Not Started</t>
        </is>
      </c>
      <c r="N55" s="21" t="inlineStr">
        <is>
          <t>1</t>
        </is>
      </c>
    </row>
    <row r="56">
      <c r="A56" s="21" t="n">
        <v>55</v>
      </c>
      <c r="B56" s="21" t="inlineStr">
        <is>
          <t>Volunteer</t>
        </is>
      </c>
      <c r="C56" s="21" t="inlineStr">
        <is>
          <t>Hour Tracking</t>
        </is>
      </c>
      <c r="D56" s="21" t="inlineStr">
        <is>
          <t>FLOW</t>
        </is>
      </c>
      <c r="E56" s="22" t="inlineStr">
        <is>
          <t>Medium</t>
        </is>
      </c>
      <c r="F56" s="33" t="inlineStr">
        <is>
          <t>0.75</t>
        </is>
      </c>
      <c r="G56" s="23" t="inlineStr">
        <is>
          <t>Completed</t>
        </is>
      </c>
      <c r="H56" s="21" t="inlineStr">
        <is>
          <t>Karthick</t>
        </is>
      </c>
      <c r="I56" s="33" t="inlineStr">
        <is>
          <t>1</t>
        </is>
      </c>
      <c r="J56" s="23" t="inlineStr">
        <is>
          <t>Passed</t>
        </is>
      </c>
      <c r="K56" s="21" t="inlineStr">
        <is>
          <t>Kavin</t>
        </is>
      </c>
      <c r="L56" s="33" t="inlineStr">
        <is>
          <t>1</t>
        </is>
      </c>
      <c r="M56" s="24" t="inlineStr">
        <is>
          <t>Not Started</t>
        </is>
      </c>
      <c r="N56" s="21" t="inlineStr">
        <is>
          <t>1</t>
        </is>
      </c>
    </row>
    <row r="57">
      <c r="A57" s="21" t="n">
        <v>56</v>
      </c>
      <c r="B57" s="21" t="inlineStr">
        <is>
          <t>Volunteer</t>
        </is>
      </c>
      <c r="C57" s="21" t="inlineStr">
        <is>
          <t>Volunteer Conversion</t>
        </is>
      </c>
      <c r="D57" s="21" t="inlineStr">
        <is>
          <t>Dashboard</t>
        </is>
      </c>
      <c r="E57" s="29" t="inlineStr">
        <is>
          <t>Low</t>
        </is>
      </c>
      <c r="F57" s="33" t="inlineStr">
        <is>
          <t>0.75</t>
        </is>
      </c>
      <c r="G57" s="24" t="inlineStr">
        <is>
          <t>Not Started</t>
        </is>
      </c>
      <c r="H57" s="21" t="inlineStr">
        <is>
          <t>N/A (Upcoming)</t>
        </is>
      </c>
      <c r="I57" s="33" t="inlineStr">
        <is>
          <t>1</t>
        </is>
      </c>
      <c r="J57" s="30" t="inlineStr">
        <is>
          <t>N/A (Upcoming)</t>
        </is>
      </c>
      <c r="K57" s="21" t="n"/>
      <c r="L57" s="33" t="inlineStr">
        <is>
          <t>1</t>
        </is>
      </c>
      <c r="M57" s="30" t="inlineStr">
        <is>
          <t>N/A (Upcoming)</t>
        </is>
      </c>
      <c r="N57" s="21" t="inlineStr">
        <is>
          <t>1</t>
        </is>
      </c>
    </row>
    <row r="58">
      <c r="A58" s="21" t="n">
        <v>57</v>
      </c>
      <c r="B58" s="21" t="inlineStr">
        <is>
          <t>Volunteer</t>
        </is>
      </c>
      <c r="C58" s="21" t="inlineStr">
        <is>
          <t>Volunteer Dashboard</t>
        </is>
      </c>
      <c r="D58" s="21" t="inlineStr">
        <is>
          <t>Dashboard</t>
        </is>
      </c>
      <c r="E58" s="29" t="inlineStr">
        <is>
          <t>Low</t>
        </is>
      </c>
      <c r="F58" s="33" t="inlineStr">
        <is>
          <t>0.75</t>
        </is>
      </c>
      <c r="G58" s="23" t="inlineStr">
        <is>
          <t>Completed</t>
        </is>
      </c>
      <c r="H58" s="21" t="inlineStr">
        <is>
          <t>Karthick</t>
        </is>
      </c>
      <c r="I58" s="33" t="inlineStr">
        <is>
          <t>1</t>
        </is>
      </c>
      <c r="J58" s="30" t="inlineStr">
        <is>
          <t>N/A (Upcoming)</t>
        </is>
      </c>
      <c r="K58" s="21" t="n"/>
      <c r="L58" s="33" t="inlineStr">
        <is>
          <t>1</t>
        </is>
      </c>
      <c r="M58" s="30" t="inlineStr">
        <is>
          <t>N/A (Upcoming)</t>
        </is>
      </c>
      <c r="N58" s="21" t="inlineStr">
        <is>
          <t>1</t>
        </is>
      </c>
    </row>
    <row r="59">
      <c r="A59" s="21" t="n">
        <v>58</v>
      </c>
      <c r="B59" s="21" t="inlineStr">
        <is>
          <t>Membership</t>
        </is>
      </c>
      <c r="C59" s="21" t="inlineStr">
        <is>
          <t>Membership Tier</t>
        </is>
      </c>
      <c r="D59" s="21" t="inlineStr">
        <is>
          <t>MASTER_GRID</t>
        </is>
      </c>
      <c r="E59" s="27" t="inlineStr">
        <is>
          <t>High</t>
        </is>
      </c>
      <c r="F59" s="33" t="inlineStr">
        <is>
          <t>0.5</t>
        </is>
      </c>
      <c r="G59" s="23" t="inlineStr">
        <is>
          <t>Completed</t>
        </is>
      </c>
      <c r="H59" s="21" t="inlineStr">
        <is>
          <t>Karthick</t>
        </is>
      </c>
      <c r="I59" s="33" t="inlineStr">
        <is>
          <t>0.75</t>
        </is>
      </c>
      <c r="J59" s="26" t="inlineStr">
        <is>
          <t>Pending</t>
        </is>
      </c>
      <c r="K59" s="21" t="inlineStr">
        <is>
          <t>Saranya</t>
        </is>
      </c>
      <c r="L59" s="33" t="inlineStr">
        <is>
          <t>0.75</t>
        </is>
      </c>
      <c r="M59" s="24" t="inlineStr">
        <is>
          <t>Not Started</t>
        </is>
      </c>
      <c r="N59" s="21" t="inlineStr">
        <is>
          <t>0.75</t>
        </is>
      </c>
    </row>
    <row r="60">
      <c r="A60" s="21" t="n">
        <v>59</v>
      </c>
      <c r="B60" s="21" t="inlineStr">
        <is>
          <t>Membership</t>
        </is>
      </c>
      <c r="C60" s="21" t="inlineStr">
        <is>
          <t>Member Enrollment</t>
        </is>
      </c>
      <c r="D60" s="21" t="inlineStr">
        <is>
          <t>FLOW</t>
        </is>
      </c>
      <c r="E60" s="27" t="inlineStr">
        <is>
          <t>High</t>
        </is>
      </c>
      <c r="F60" s="33" t="inlineStr">
        <is>
          <t>1</t>
        </is>
      </c>
      <c r="G60" s="23" t="inlineStr">
        <is>
          <t>Completed</t>
        </is>
      </c>
      <c r="H60" s="21" t="inlineStr">
        <is>
          <t>Karthick</t>
        </is>
      </c>
      <c r="I60" s="33" t="inlineStr">
        <is>
          <t>1.5</t>
        </is>
      </c>
      <c r="J60" s="26" t="inlineStr">
        <is>
          <t>Pending</t>
        </is>
      </c>
      <c r="K60" s="21" t="inlineStr">
        <is>
          <t>Saranya</t>
        </is>
      </c>
      <c r="L60" s="33" t="inlineStr">
        <is>
          <t>1.5</t>
        </is>
      </c>
      <c r="M60" s="24" t="inlineStr">
        <is>
          <t>Not Started</t>
        </is>
      </c>
      <c r="N60" s="21" t="inlineStr">
        <is>
          <t>1.5</t>
        </is>
      </c>
    </row>
    <row r="61">
      <c r="A61" s="21" t="n">
        <v>60</v>
      </c>
      <c r="B61" s="21" t="inlineStr">
        <is>
          <t>Membership</t>
        </is>
      </c>
      <c r="C61" s="21" t="inlineStr">
        <is>
          <t>Membership Renewal</t>
        </is>
      </c>
      <c r="D61" s="21" t="inlineStr">
        <is>
          <t>MASTER_GRID</t>
        </is>
      </c>
      <c r="E61" s="22" t="inlineStr">
        <is>
          <t>Medium</t>
        </is>
      </c>
      <c r="F61" s="33" t="inlineStr">
        <is>
          <t>0.75</t>
        </is>
      </c>
      <c r="G61" s="23" t="inlineStr">
        <is>
          <t>Completed</t>
        </is>
      </c>
      <c r="H61" s="21" t="inlineStr">
        <is>
          <t>Karthick</t>
        </is>
      </c>
      <c r="I61" s="33" t="inlineStr">
        <is>
          <t>1</t>
        </is>
      </c>
      <c r="J61" s="26" t="inlineStr">
        <is>
          <t>Pending</t>
        </is>
      </c>
      <c r="K61" s="21" t="inlineStr">
        <is>
          <t>Saranya</t>
        </is>
      </c>
      <c r="L61" s="33" t="inlineStr">
        <is>
          <t>1</t>
        </is>
      </c>
      <c r="M61" s="24" t="inlineStr">
        <is>
          <t>Not Started</t>
        </is>
      </c>
      <c r="N61" s="21" t="inlineStr">
        <is>
          <t>1</t>
        </is>
      </c>
    </row>
    <row r="62">
      <c r="A62" s="21" t="n">
        <v>61</v>
      </c>
      <c r="B62" s="21" t="inlineStr">
        <is>
          <t>Membership</t>
        </is>
      </c>
      <c r="C62" s="21" t="inlineStr">
        <is>
          <t>Member Portal</t>
        </is>
      </c>
      <c r="D62" s="21" t="inlineStr">
        <is>
          <t>FLOW</t>
        </is>
      </c>
      <c r="E62" s="29" t="inlineStr">
        <is>
          <t>Low</t>
        </is>
      </c>
      <c r="F62" s="33" t="inlineStr">
        <is>
          <t>0.75</t>
        </is>
      </c>
      <c r="G62" s="24" t="inlineStr">
        <is>
          <t>Not Started</t>
        </is>
      </c>
      <c r="H62" s="21" t="inlineStr">
        <is>
          <t>N/A (Upcoming)</t>
        </is>
      </c>
      <c r="I62" s="33" t="inlineStr">
        <is>
          <t>1</t>
        </is>
      </c>
      <c r="J62" s="30" t="inlineStr">
        <is>
          <t>N/A (Upcoming)</t>
        </is>
      </c>
      <c r="K62" s="21" t="n"/>
      <c r="L62" s="33" t="inlineStr">
        <is>
          <t>1</t>
        </is>
      </c>
      <c r="M62" s="30" t="inlineStr">
        <is>
          <t>N/A (Upcoming)</t>
        </is>
      </c>
      <c r="N62" s="21" t="inlineStr">
        <is>
          <t>1</t>
        </is>
      </c>
    </row>
    <row r="63">
      <c r="A63" s="21" t="n">
        <v>62</v>
      </c>
      <c r="B63" s="21" t="inlineStr">
        <is>
          <t>Grants</t>
        </is>
      </c>
      <c r="C63" s="21" t="inlineStr">
        <is>
          <t>Grant</t>
        </is>
      </c>
      <c r="D63" s="21" t="inlineStr">
        <is>
          <t>FLOW</t>
        </is>
      </c>
      <c r="E63" s="27" t="inlineStr">
        <is>
          <t>High</t>
        </is>
      </c>
      <c r="F63" s="33" t="inlineStr">
        <is>
          <t>1</t>
        </is>
      </c>
      <c r="G63" s="23" t="inlineStr">
        <is>
          <t>Completed</t>
        </is>
      </c>
      <c r="H63" s="21" t="inlineStr">
        <is>
          <t>Karthick</t>
        </is>
      </c>
      <c r="I63" s="33" t="inlineStr">
        <is>
          <t>1.5</t>
        </is>
      </c>
      <c r="J63" s="26" t="inlineStr">
        <is>
          <t>Pending</t>
        </is>
      </c>
      <c r="K63" s="21" t="inlineStr">
        <is>
          <t>Karthick</t>
        </is>
      </c>
      <c r="L63" s="33" t="inlineStr">
        <is>
          <t>1.5</t>
        </is>
      </c>
      <c r="M63" s="24" t="inlineStr">
        <is>
          <t>Not Started</t>
        </is>
      </c>
      <c r="N63" s="21" t="inlineStr">
        <is>
          <t>1.5</t>
        </is>
      </c>
    </row>
    <row r="64">
      <c r="A64" s="21" t="n">
        <v>63</v>
      </c>
      <c r="B64" s="21" t="inlineStr">
        <is>
          <t>Grants</t>
        </is>
      </c>
      <c r="C64" s="21" t="inlineStr">
        <is>
          <t>Grant Report</t>
        </is>
      </c>
      <c r="D64" s="21" t="inlineStr">
        <is>
          <t>FLOW</t>
        </is>
      </c>
      <c r="E64" s="22" t="inlineStr">
        <is>
          <t>Medium</t>
        </is>
      </c>
      <c r="F64" s="33" t="inlineStr">
        <is>
          <t>1</t>
        </is>
      </c>
      <c r="G64" s="23" t="inlineStr">
        <is>
          <t>Completed</t>
        </is>
      </c>
      <c r="H64" s="21" t="inlineStr">
        <is>
          <t>Karthick</t>
        </is>
      </c>
      <c r="I64" s="33" t="inlineStr">
        <is>
          <t>1.5</t>
        </is>
      </c>
      <c r="J64" s="26" t="inlineStr">
        <is>
          <t>Pending</t>
        </is>
      </c>
      <c r="K64" s="21" t="inlineStr">
        <is>
          <t>Karthick</t>
        </is>
      </c>
      <c r="L64" s="33" t="inlineStr">
        <is>
          <t>1.5</t>
        </is>
      </c>
      <c r="M64" s="24" t="inlineStr">
        <is>
          <t>Not Started</t>
        </is>
      </c>
      <c r="N64" s="21" t="inlineStr">
        <is>
          <t>1.5</t>
        </is>
      </c>
    </row>
    <row r="65">
      <c r="A65" s="21" t="n">
        <v>64</v>
      </c>
      <c r="B65" s="21" t="inlineStr">
        <is>
          <t>Grants</t>
        </is>
      </c>
      <c r="C65" s="21" t="inlineStr">
        <is>
          <t>Grant Calendar</t>
        </is>
      </c>
      <c r="D65" s="21" t="inlineStr">
        <is>
          <t>Dashboard</t>
        </is>
      </c>
      <c r="E65" s="29" t="inlineStr">
        <is>
          <t>Low</t>
        </is>
      </c>
      <c r="F65" s="33" t="inlineStr">
        <is>
          <t>0.75</t>
        </is>
      </c>
      <c r="G65" s="24" t="inlineStr">
        <is>
          <t>Not Started</t>
        </is>
      </c>
      <c r="H65" s="21" t="inlineStr">
        <is>
          <t>N/A (Upcoming)</t>
        </is>
      </c>
      <c r="I65" s="33" t="inlineStr">
        <is>
          <t>1</t>
        </is>
      </c>
      <c r="J65" s="30" t="inlineStr">
        <is>
          <t>N/A (Upcoming)</t>
        </is>
      </c>
      <c r="K65" s="21" t="n"/>
      <c r="L65" s="33" t="inlineStr">
        <is>
          <t>1</t>
        </is>
      </c>
      <c r="M65" s="30" t="inlineStr">
        <is>
          <t>N/A (Upcoming)</t>
        </is>
      </c>
      <c r="N65" s="21" t="inlineStr">
        <is>
          <t>1</t>
        </is>
      </c>
    </row>
    <row r="66">
      <c r="A66" s="21" t="n">
        <v>65</v>
      </c>
      <c r="B66" s="21" t="inlineStr">
        <is>
          <t>Field Collection</t>
        </is>
      </c>
      <c r="C66" s="21" t="inlineStr">
        <is>
          <t>Field Collection</t>
        </is>
      </c>
      <c r="D66" s="21" t="inlineStr">
        <is>
          <t>FLOW</t>
        </is>
      </c>
      <c r="E66" s="22" t="inlineStr">
        <is>
          <t>Medium</t>
        </is>
      </c>
      <c r="F66" s="33" t="inlineStr">
        <is>
          <t>0.75</t>
        </is>
      </c>
      <c r="G66" s="23" t="inlineStr">
        <is>
          <t>Completed</t>
        </is>
      </c>
      <c r="H66" s="21" t="inlineStr">
        <is>
          <t>Karthick</t>
        </is>
      </c>
      <c r="I66" s="33" t="inlineStr">
        <is>
          <t>1</t>
        </is>
      </c>
      <c r="J66" s="26" t="inlineStr">
        <is>
          <t>Pending</t>
        </is>
      </c>
      <c r="K66" s="21" t="inlineStr">
        <is>
          <t>Kavin</t>
        </is>
      </c>
      <c r="L66" s="33" t="inlineStr">
        <is>
          <t>1</t>
        </is>
      </c>
      <c r="M66" s="24" t="inlineStr">
        <is>
          <t>Not Started</t>
        </is>
      </c>
      <c r="N66" s="21" t="inlineStr">
        <is>
          <t>1</t>
        </is>
      </c>
    </row>
    <row r="67">
      <c r="A67" s="21" t="n">
        <v>66</v>
      </c>
      <c r="B67" s="21" t="inlineStr">
        <is>
          <t>Field Collection</t>
        </is>
      </c>
      <c r="C67" s="21" t="inlineStr">
        <is>
          <t>Receipt Book</t>
        </is>
      </c>
      <c r="D67" s="21" t="inlineStr">
        <is>
          <t>MASTER_GRID</t>
        </is>
      </c>
      <c r="E67" s="22" t="inlineStr">
        <is>
          <t>Medium</t>
        </is>
      </c>
      <c r="F67" s="33" t="inlineStr">
        <is>
          <t>0.5</t>
        </is>
      </c>
      <c r="G67" s="23" t="inlineStr">
        <is>
          <t>Completed</t>
        </is>
      </c>
      <c r="H67" s="21" t="inlineStr">
        <is>
          <t>Karthick</t>
        </is>
      </c>
      <c r="I67" s="33" t="inlineStr">
        <is>
          <t>0.75</t>
        </is>
      </c>
      <c r="J67" s="26" t="inlineStr">
        <is>
          <t>Pending</t>
        </is>
      </c>
      <c r="K67" s="21" t="inlineStr">
        <is>
          <t>Kavin</t>
        </is>
      </c>
      <c r="L67" s="33" t="inlineStr">
        <is>
          <t>0.75</t>
        </is>
      </c>
      <c r="M67" s="24" t="inlineStr">
        <is>
          <t>Not Started</t>
        </is>
      </c>
      <c r="N67" s="21" t="inlineStr">
        <is>
          <t>0.75</t>
        </is>
      </c>
    </row>
    <row r="68">
      <c r="A68" s="21" t="n">
        <v>67</v>
      </c>
      <c r="B68" s="21" t="inlineStr">
        <is>
          <t>Field Collection</t>
        </is>
      </c>
      <c r="C68" s="21" t="inlineStr">
        <is>
          <t>Ambassador</t>
        </is>
      </c>
      <c r="D68" s="21" t="inlineStr">
        <is>
          <t>FLOW</t>
        </is>
      </c>
      <c r="E68" s="27" t="inlineStr">
        <is>
          <t>High</t>
        </is>
      </c>
      <c r="F68" s="33" t="inlineStr">
        <is>
          <t>1</t>
        </is>
      </c>
      <c r="G68" s="23" t="inlineStr">
        <is>
          <t>Completed</t>
        </is>
      </c>
      <c r="H68" s="21" t="inlineStr">
        <is>
          <t>Karthick</t>
        </is>
      </c>
      <c r="I68" s="33" t="inlineStr">
        <is>
          <t>1.5</t>
        </is>
      </c>
      <c r="J68" s="26" t="inlineStr">
        <is>
          <t>Pending</t>
        </is>
      </c>
      <c r="K68" s="21" t="inlineStr">
        <is>
          <t>Kavin</t>
        </is>
      </c>
      <c r="L68" s="33" t="inlineStr">
        <is>
          <t>1.5</t>
        </is>
      </c>
      <c r="M68" s="24" t="inlineStr">
        <is>
          <t>Not Started</t>
        </is>
      </c>
      <c r="N68" s="21" t="inlineStr">
        <is>
          <t>1.5</t>
        </is>
      </c>
    </row>
    <row r="69">
      <c r="A69" s="21" t="n">
        <v>68</v>
      </c>
      <c r="B69" s="21" t="inlineStr">
        <is>
          <t>Field Collection</t>
        </is>
      </c>
      <c r="C69" s="21" t="inlineStr">
        <is>
          <t>Collection Distribution</t>
        </is>
      </c>
      <c r="D69" s="21" t="inlineStr">
        <is>
          <t>FLOW</t>
        </is>
      </c>
      <c r="E69" s="22" t="inlineStr">
        <is>
          <t>Medium</t>
        </is>
      </c>
      <c r="F69" s="33" t="inlineStr">
        <is>
          <t>1</t>
        </is>
      </c>
      <c r="G69" s="28" t="inlineStr">
        <is>
          <t>In Progress (Partial)</t>
        </is>
      </c>
      <c r="H69" s="21" t="inlineStr">
        <is>
          <t>Not Started</t>
        </is>
      </c>
      <c r="I69" s="33" t="inlineStr">
        <is>
          <t>1.5</t>
        </is>
      </c>
      <c r="J69" s="24" t="inlineStr">
        <is>
          <t>Not Started</t>
        </is>
      </c>
      <c r="K69" s="21" t="n"/>
      <c r="L69" s="33" t="inlineStr">
        <is>
          <t>1.5</t>
        </is>
      </c>
      <c r="M69" s="24" t="inlineStr">
        <is>
          <t>Not Started</t>
        </is>
      </c>
      <c r="N69" s="21" t="inlineStr">
        <is>
          <t>1.5</t>
        </is>
      </c>
    </row>
    <row r="70">
      <c r="A70" s="21" t="n">
        <v>69</v>
      </c>
      <c r="B70" s="21" t="inlineStr">
        <is>
          <t>Field Collection</t>
        </is>
      </c>
      <c r="C70" s="21" t="inlineStr">
        <is>
          <t>Ambassador Dashboard</t>
        </is>
      </c>
      <c r="D70" s="21" t="inlineStr">
        <is>
          <t>Dashboard</t>
        </is>
      </c>
      <c r="E70" s="29" t="inlineStr">
        <is>
          <t>Low</t>
        </is>
      </c>
      <c r="F70" s="33" t="inlineStr">
        <is>
          <t>0.75</t>
        </is>
      </c>
      <c r="G70" s="23" t="inlineStr">
        <is>
          <t>Completed</t>
        </is>
      </c>
      <c r="H70" s="21" t="inlineStr">
        <is>
          <t>Karthick</t>
        </is>
      </c>
      <c r="I70" s="33" t="inlineStr">
        <is>
          <t>1</t>
        </is>
      </c>
      <c r="J70" s="30" t="inlineStr">
        <is>
          <t>N/A (Upcoming)</t>
        </is>
      </c>
      <c r="K70" s="21" t="n"/>
      <c r="L70" s="33" t="inlineStr">
        <is>
          <t>1</t>
        </is>
      </c>
      <c r="M70" s="30" t="inlineStr">
        <is>
          <t>N/A (Upcoming)</t>
        </is>
      </c>
      <c r="N70" s="21" t="inlineStr">
        <is>
          <t>1</t>
        </is>
      </c>
    </row>
    <row r="71">
      <c r="A71" s="21" t="n">
        <v>70</v>
      </c>
      <c r="B71" s="21" t="inlineStr">
        <is>
          <t>Administration</t>
        </is>
      </c>
      <c r="C71" s="21" t="inlineStr">
        <is>
          <t>Role Management (combined: Role + Capability + Role-Capability Matrix)</t>
        </is>
      </c>
      <c r="D71" s="21" t="inlineStr">
        <is>
          <t>Config</t>
        </is>
      </c>
      <c r="E71" s="22" t="inlineStr">
        <is>
          <t>Medium</t>
        </is>
      </c>
      <c r="F71" s="33" t="inlineStr">
        <is>
          <t>1</t>
        </is>
      </c>
      <c r="G71" s="28" t="inlineStr">
        <is>
          <t>In Progress (Partial)</t>
        </is>
      </c>
      <c r="H71" s="21" t="inlineStr">
        <is>
          <t>Not Started</t>
        </is>
      </c>
      <c r="I71" s="33" t="inlineStr">
        <is>
          <t>1.5</t>
        </is>
      </c>
      <c r="J71" s="24" t="inlineStr">
        <is>
          <t>Not Started</t>
        </is>
      </c>
      <c r="K71" s="21" t="n"/>
      <c r="L71" s="33" t="inlineStr">
        <is>
          <t>1.5</t>
        </is>
      </c>
      <c r="M71" s="24" t="inlineStr">
        <is>
          <t>Not Started</t>
        </is>
      </c>
      <c r="N71" s="21" t="inlineStr">
        <is>
          <t>1.5</t>
        </is>
      </c>
    </row>
    <row r="72">
      <c r="A72" s="21" t="n">
        <v>71</v>
      </c>
      <c r="B72" s="21" t="inlineStr">
        <is>
          <t>Administration</t>
        </is>
      </c>
      <c r="C72" s="21" t="inlineStr">
        <is>
          <t>Menu Management</t>
        </is>
      </c>
      <c r="D72" s="21" t="inlineStr">
        <is>
          <t>MASTER_GRID</t>
        </is>
      </c>
      <c r="E72" s="22" t="inlineStr">
        <is>
          <t>Medium</t>
        </is>
      </c>
      <c r="F72" s="33" t="inlineStr">
        <is>
          <t>0.75</t>
        </is>
      </c>
      <c r="G72" s="28" t="inlineStr">
        <is>
          <t>In Progress (Partial)</t>
        </is>
      </c>
      <c r="H72" s="21" t="inlineStr">
        <is>
          <t>Not Started</t>
        </is>
      </c>
      <c r="I72" s="33" t="inlineStr">
        <is>
          <t>1</t>
        </is>
      </c>
      <c r="J72" s="24" t="inlineStr">
        <is>
          <t>Not Started</t>
        </is>
      </c>
      <c r="K72" s="21" t="n"/>
      <c r="L72" s="33" t="inlineStr">
        <is>
          <t>1</t>
        </is>
      </c>
      <c r="M72" s="24" t="inlineStr">
        <is>
          <t>Not Started</t>
        </is>
      </c>
      <c r="N72" s="21" t="inlineStr">
        <is>
          <t>1</t>
        </is>
      </c>
    </row>
    <row r="73">
      <c r="A73" s="21" t="n">
        <v>72</v>
      </c>
      <c r="B73" s="21" t="inlineStr">
        <is>
          <t>Administration</t>
        </is>
      </c>
      <c r="C73" s="21" t="inlineStr">
        <is>
          <t>User Management</t>
        </is>
      </c>
      <c r="D73" s="21" t="inlineStr">
        <is>
          <t>FLOW</t>
        </is>
      </c>
      <c r="E73" s="27" t="inlineStr">
        <is>
          <t>High</t>
        </is>
      </c>
      <c r="F73" s="33" t="inlineStr">
        <is>
          <t>1</t>
        </is>
      </c>
      <c r="G73" s="28" t="inlineStr">
        <is>
          <t>In Progress (Partial)</t>
        </is>
      </c>
      <c r="H73" s="21" t="inlineStr">
        <is>
          <t>Not Started</t>
        </is>
      </c>
      <c r="I73" s="33" t="inlineStr">
        <is>
          <t>1.5</t>
        </is>
      </c>
      <c r="J73" s="24" t="inlineStr">
        <is>
          <t>Not Started</t>
        </is>
      </c>
      <c r="K73" s="21" t="n"/>
      <c r="L73" s="33" t="inlineStr">
        <is>
          <t>1.5</t>
        </is>
      </c>
      <c r="M73" s="24" t="inlineStr">
        <is>
          <t>Not Started</t>
        </is>
      </c>
      <c r="N73" s="21" t="inlineStr">
        <is>
          <t>1.5</t>
        </is>
      </c>
    </row>
    <row r="74">
      <c r="A74" s="21" t="n">
        <v>74</v>
      </c>
      <c r="B74" s="21" t="inlineStr">
        <is>
          <t>Administration</t>
        </is>
      </c>
      <c r="C74" s="21" t="inlineStr">
        <is>
          <t>Audit Trail</t>
        </is>
      </c>
      <c r="D74" s="21" t="inlineStr">
        <is>
          <t>FLOW</t>
        </is>
      </c>
      <c r="E74" s="22" t="inlineStr">
        <is>
          <t>Medium</t>
        </is>
      </c>
      <c r="F74" s="33" t="inlineStr">
        <is>
          <t>0.75</t>
        </is>
      </c>
      <c r="G74" s="28" t="inlineStr">
        <is>
          <t>In Progress (Partial)</t>
        </is>
      </c>
      <c r="H74" s="21" t="inlineStr">
        <is>
          <t>Karthick</t>
        </is>
      </c>
      <c r="I74" s="33" t="inlineStr">
        <is>
          <t>1</t>
        </is>
      </c>
      <c r="J74" s="24" t="inlineStr">
        <is>
          <t>Not Started</t>
        </is>
      </c>
      <c r="K74" s="21" t="n"/>
      <c r="L74" s="33" t="inlineStr">
        <is>
          <t>1</t>
        </is>
      </c>
      <c r="M74" s="24" t="inlineStr">
        <is>
          <t>Not Started</t>
        </is>
      </c>
      <c r="N74" s="21" t="inlineStr">
        <is>
          <t>1</t>
        </is>
      </c>
    </row>
    <row r="75">
      <c r="A75" s="21" t="n">
        <v>75</v>
      </c>
      <c r="B75" s="21" t="inlineStr">
        <is>
          <t>Administration</t>
        </is>
      </c>
      <c r="C75" s="21" t="inlineStr">
        <is>
          <t>Company Settings</t>
        </is>
      </c>
      <c r="D75" s="21" t="inlineStr">
        <is>
          <t>Config</t>
        </is>
      </c>
      <c r="E75" s="22" t="inlineStr">
        <is>
          <t>Medium</t>
        </is>
      </c>
      <c r="F75" s="33" t="inlineStr">
        <is>
          <t>1</t>
        </is>
      </c>
      <c r="G75" s="24" t="inlineStr">
        <is>
          <t>Not Started</t>
        </is>
      </c>
      <c r="H75" s="21" t="inlineStr">
        <is>
          <t>Not Started</t>
        </is>
      </c>
      <c r="I75" s="33" t="inlineStr">
        <is>
          <t>1.5</t>
        </is>
      </c>
      <c r="J75" s="24" t="inlineStr">
        <is>
          <t>Not Started</t>
        </is>
      </c>
      <c r="K75" s="21" t="n"/>
      <c r="L75" s="33" t="inlineStr">
        <is>
          <t>1.5</t>
        </is>
      </c>
      <c r="M75" s="24" t="inlineStr">
        <is>
          <t>Not Started</t>
        </is>
      </c>
      <c r="N75" s="21" t="inlineStr">
        <is>
          <t>1.5</t>
        </is>
      </c>
    </row>
    <row r="76">
      <c r="A76" s="21" t="inlineStr">
        <is>
          <t>76, 162</t>
        </is>
      </c>
      <c r="B76" s="21" t="inlineStr">
        <is>
          <t>Settings</t>
        </is>
      </c>
      <c r="C76" s="21" t="inlineStr">
        <is>
          <t>Master Data (combined: Master Data + Master Data Type)</t>
        </is>
      </c>
      <c r="D76" s="21" t="inlineStr">
        <is>
          <t>MASTER_GRID</t>
        </is>
      </c>
      <c r="E76" s="22" t="inlineStr">
        <is>
          <t>Medium</t>
        </is>
      </c>
      <c r="F76" s="33" t="inlineStr">
        <is>
          <t>0.75</t>
        </is>
      </c>
      <c r="G76" s="23" t="inlineStr">
        <is>
          <t>Completed</t>
        </is>
      </c>
      <c r="H76" s="21" t="inlineStr">
        <is>
          <t>Karthick</t>
        </is>
      </c>
      <c r="I76" s="33" t="inlineStr">
        <is>
          <t>1</t>
        </is>
      </c>
      <c r="J76" s="24" t="inlineStr">
        <is>
          <t>Not Started</t>
        </is>
      </c>
      <c r="K76" s="21" t="n"/>
      <c r="L76" s="33" t="inlineStr">
        <is>
          <t>1</t>
        </is>
      </c>
      <c r="M76" s="24" t="inlineStr">
        <is>
          <t>Not Started</t>
        </is>
      </c>
      <c r="N76" s="21" t="inlineStr">
        <is>
          <t>1</t>
        </is>
      </c>
    </row>
    <row r="77">
      <c r="A77" s="21" t="n">
        <v>77</v>
      </c>
      <c r="B77" s="21" t="inlineStr">
        <is>
          <t>Settings</t>
        </is>
      </c>
      <c r="C77" s="21" t="inlineStr">
        <is>
          <t>Grid Config (combined: Grid Config + Field master)</t>
        </is>
      </c>
      <c r="D77" s="21" t="inlineStr">
        <is>
          <t>Config</t>
        </is>
      </c>
      <c r="E77" s="22" t="inlineStr">
        <is>
          <t>Medium</t>
        </is>
      </c>
      <c r="F77" s="33" t="inlineStr">
        <is>
          <t>0.75</t>
        </is>
      </c>
      <c r="G77" s="24" t="inlineStr">
        <is>
          <t>Not Started</t>
        </is>
      </c>
      <c r="H77" s="21" t="inlineStr">
        <is>
          <t>Not Started</t>
        </is>
      </c>
      <c r="I77" s="33" t="inlineStr">
        <is>
          <t>1</t>
        </is>
      </c>
      <c r="J77" s="24" t="inlineStr">
        <is>
          <t>Not Started</t>
        </is>
      </c>
      <c r="K77" s="21" t="n"/>
      <c r="L77" s="33" t="inlineStr">
        <is>
          <t>1</t>
        </is>
      </c>
      <c r="M77" s="24" t="inlineStr">
        <is>
          <t>Not Started</t>
        </is>
      </c>
      <c r="N77" s="21" t="inlineStr">
        <is>
          <t>1</t>
        </is>
      </c>
    </row>
    <row r="78">
      <c r="A78" s="21" t="n">
        <v>78</v>
      </c>
      <c r="B78" s="21" t="inlineStr">
        <is>
          <t>Settings</t>
        </is>
      </c>
      <c r="C78" s="21" t="inlineStr">
        <is>
          <t>Dashboard Config</t>
        </is>
      </c>
      <c r="D78" s="21" t="inlineStr">
        <is>
          <t>Config</t>
        </is>
      </c>
      <c r="E78" s="22" t="inlineStr">
        <is>
          <t>Medium</t>
        </is>
      </c>
      <c r="F78" s="33" t="inlineStr">
        <is>
          <t>0.75</t>
        </is>
      </c>
      <c r="G78" s="24" t="inlineStr">
        <is>
          <t>Not Started</t>
        </is>
      </c>
      <c r="H78" s="21" t="inlineStr">
        <is>
          <t>Not Started</t>
        </is>
      </c>
      <c r="I78" s="33" t="inlineStr">
        <is>
          <t>1</t>
        </is>
      </c>
      <c r="J78" s="24" t="inlineStr">
        <is>
          <t>Not Started</t>
        </is>
      </c>
      <c r="K78" s="21" t="n"/>
      <c r="L78" s="33" t="inlineStr">
        <is>
          <t>1</t>
        </is>
      </c>
      <c r="M78" s="24" t="inlineStr">
        <is>
          <t>Not Started</t>
        </is>
      </c>
      <c r="N78" s="21" t="inlineStr">
        <is>
          <t>1</t>
        </is>
      </c>
    </row>
    <row r="79">
      <c r="A79" s="21" t="n">
        <v>79</v>
      </c>
      <c r="B79" s="21" t="inlineStr">
        <is>
          <t>Settings</t>
        </is>
      </c>
      <c r="C79" s="21" t="inlineStr">
        <is>
          <t>Currency Management</t>
        </is>
      </c>
      <c r="D79" s="21" t="inlineStr">
        <is>
          <t>MASTER_GRID</t>
        </is>
      </c>
      <c r="E79" s="22" t="inlineStr">
        <is>
          <t>Medium</t>
        </is>
      </c>
      <c r="F79" s="33" t="inlineStr">
        <is>
          <t>0.5</t>
        </is>
      </c>
      <c r="G79" s="24" t="inlineStr">
        <is>
          <t>Not Started</t>
        </is>
      </c>
      <c r="H79" s="21" t="inlineStr">
        <is>
          <t>Not Started</t>
        </is>
      </c>
      <c r="I79" s="33" t="inlineStr">
        <is>
          <t>0.75</t>
        </is>
      </c>
      <c r="J79" s="24" t="inlineStr">
        <is>
          <t>Not Started</t>
        </is>
      </c>
      <c r="K79" s="21" t="n"/>
      <c r="L79" s="33" t="inlineStr">
        <is>
          <t>0.75</t>
        </is>
      </c>
      <c r="M79" s="24" t="inlineStr">
        <is>
          <t>Not Started</t>
        </is>
      </c>
      <c r="N79" s="21" t="inlineStr">
        <is>
          <t>0.75</t>
        </is>
      </c>
    </row>
    <row r="80">
      <c r="A80" s="21" t="n">
        <v>80</v>
      </c>
      <c r="B80" s="21" t="inlineStr">
        <is>
          <t>Settings</t>
        </is>
      </c>
      <c r="C80" s="21" t="inlineStr">
        <is>
          <t>Region Hierarchy</t>
        </is>
      </c>
      <c r="D80" s="21" t="inlineStr">
        <is>
          <t>Config</t>
        </is>
      </c>
      <c r="E80" s="22" t="inlineStr">
        <is>
          <t>Medium</t>
        </is>
      </c>
      <c r="F80" s="33" t="inlineStr">
        <is>
          <t>1</t>
        </is>
      </c>
      <c r="G80" s="24" t="inlineStr">
        <is>
          <t>Not Started</t>
        </is>
      </c>
      <c r="H80" s="21" t="inlineStr">
        <is>
          <t>Not Started</t>
        </is>
      </c>
      <c r="I80" s="33" t="inlineStr">
        <is>
          <t>1.5</t>
        </is>
      </c>
      <c r="J80" s="24" t="inlineStr">
        <is>
          <t>Not Started</t>
        </is>
      </c>
      <c r="K80" s="21" t="n"/>
      <c r="L80" s="33" t="inlineStr">
        <is>
          <t>1.5</t>
        </is>
      </c>
      <c r="M80" s="24" t="inlineStr">
        <is>
          <t>Not Started</t>
        </is>
      </c>
      <c r="N80" s="21" t="inlineStr">
        <is>
          <t>1.5</t>
        </is>
      </c>
    </row>
    <row r="81">
      <c r="A81" s="21" t="n">
        <v>81</v>
      </c>
      <c r="B81" s="21" t="inlineStr">
        <is>
          <t>Settings</t>
        </is>
      </c>
      <c r="C81" s="21" t="inlineStr">
        <is>
          <t>Document Types</t>
        </is>
      </c>
      <c r="D81" s="21" t="inlineStr">
        <is>
          <t>MASTER_GRID</t>
        </is>
      </c>
      <c r="E81" s="27" t="inlineStr">
        <is>
          <t>High</t>
        </is>
      </c>
      <c r="F81" s="33" t="inlineStr">
        <is>
          <t>0.5</t>
        </is>
      </c>
      <c r="G81" s="24" t="inlineStr">
        <is>
          <t>Not Started</t>
        </is>
      </c>
      <c r="H81" s="21" t="inlineStr">
        <is>
          <t>Not Started</t>
        </is>
      </c>
      <c r="I81" s="33" t="inlineStr">
        <is>
          <t>0.75</t>
        </is>
      </c>
      <c r="J81" s="24" t="inlineStr">
        <is>
          <t>Not Started</t>
        </is>
      </c>
      <c r="K81" s="21" t="n"/>
      <c r="L81" s="33" t="inlineStr">
        <is>
          <t>0.75</t>
        </is>
      </c>
      <c r="M81" s="24" t="inlineStr">
        <is>
          <t>Not Started</t>
        </is>
      </c>
      <c r="N81" s="21" t="inlineStr">
        <is>
          <t>0.75</t>
        </is>
      </c>
    </row>
    <row r="82">
      <c r="A82" s="21" t="n">
        <v>82</v>
      </c>
      <c r="B82" s="21" t="inlineStr">
        <is>
          <t>Settings</t>
        </is>
      </c>
      <c r="C82" s="21" t="inlineStr">
        <is>
          <t>Custom Fields</t>
        </is>
      </c>
      <c r="D82" s="21" t="inlineStr">
        <is>
          <t>Config</t>
        </is>
      </c>
      <c r="E82" s="22" t="inlineStr">
        <is>
          <t>Medium</t>
        </is>
      </c>
      <c r="F82" s="33" t="inlineStr">
        <is>
          <t>1</t>
        </is>
      </c>
      <c r="G82" s="28" t="inlineStr">
        <is>
          <t>In Progress (Partial)</t>
        </is>
      </c>
      <c r="H82" s="21" t="inlineStr">
        <is>
          <t>Not Started</t>
        </is>
      </c>
      <c r="I82" s="33" t="inlineStr">
        <is>
          <t>1.5</t>
        </is>
      </c>
      <c r="J82" s="24" t="inlineStr">
        <is>
          <t>Not Started</t>
        </is>
      </c>
      <c r="K82" s="21" t="n"/>
      <c r="L82" s="33" t="inlineStr">
        <is>
          <t>1.5</t>
        </is>
      </c>
      <c r="M82" s="24" t="inlineStr">
        <is>
          <t>Not Started</t>
        </is>
      </c>
      <c r="N82" s="21" t="inlineStr">
        <is>
          <t>1.5</t>
        </is>
      </c>
    </row>
    <row r="83">
      <c r="A83" s="21" t="n">
        <v>83</v>
      </c>
      <c r="B83" s="21" t="inlineStr">
        <is>
          <t>Settings</t>
        </is>
      </c>
      <c r="C83" s="21" t="inlineStr">
        <is>
          <t>Certificate Templates</t>
        </is>
      </c>
      <c r="D83" s="21" t="inlineStr">
        <is>
          <t>FLOW</t>
        </is>
      </c>
      <c r="E83" s="22" t="inlineStr">
        <is>
          <t>Medium</t>
        </is>
      </c>
      <c r="F83" s="33" t="inlineStr">
        <is>
          <t>0.75</t>
        </is>
      </c>
      <c r="G83" s="28" t="inlineStr">
        <is>
          <t>In Progress (Partial)</t>
        </is>
      </c>
      <c r="H83" s="21" t="inlineStr">
        <is>
          <t>Not Started</t>
        </is>
      </c>
      <c r="I83" s="33" t="inlineStr">
        <is>
          <t>1</t>
        </is>
      </c>
      <c r="J83" s="24" t="inlineStr">
        <is>
          <t>Not Started</t>
        </is>
      </c>
      <c r="K83" s="21" t="n"/>
      <c r="L83" s="33" t="inlineStr">
        <is>
          <t>1</t>
        </is>
      </c>
      <c r="M83" s="24" t="inlineStr">
        <is>
          <t>Not Started</t>
        </is>
      </c>
      <c r="N83" s="21" t="inlineStr">
        <is>
          <t>1</t>
        </is>
      </c>
    </row>
    <row r="84">
      <c r="A84" s="21" t="n">
        <v>84</v>
      </c>
      <c r="B84" s="21" t="inlineStr">
        <is>
          <t>Settings</t>
        </is>
      </c>
      <c r="C84" s="21" t="inlineStr">
        <is>
          <t>Email Provider Config</t>
        </is>
      </c>
      <c r="D84" s="21" t="inlineStr">
        <is>
          <t>Config</t>
        </is>
      </c>
      <c r="E84" s="22" t="inlineStr">
        <is>
          <t>Medium</t>
        </is>
      </c>
      <c r="F84" s="33" t="inlineStr">
        <is>
          <t>0.75</t>
        </is>
      </c>
      <c r="G84" s="28" t="inlineStr">
        <is>
          <t>In Progress (Partial)</t>
        </is>
      </c>
      <c r="H84" s="21" t="inlineStr">
        <is>
          <t>Karthick</t>
        </is>
      </c>
      <c r="I84" s="33" t="inlineStr">
        <is>
          <t>1</t>
        </is>
      </c>
      <c r="J84" s="24" t="inlineStr">
        <is>
          <t>Not Started</t>
        </is>
      </c>
      <c r="K84" s="21" t="n"/>
      <c r="L84" s="33" t="inlineStr">
        <is>
          <t>1</t>
        </is>
      </c>
      <c r="M84" s="24" t="inlineStr">
        <is>
          <t>Not Started</t>
        </is>
      </c>
      <c r="N84" s="21" t="inlineStr">
        <is>
          <t>1</t>
        </is>
      </c>
    </row>
    <row r="85">
      <c r="A85" s="21" t="inlineStr">
        <is>
          <t>85, 165-166</t>
        </is>
      </c>
      <c r="B85" s="21" t="inlineStr">
        <is>
          <t>Settings</t>
        </is>
      </c>
      <c r="C85" s="21" t="inlineStr">
        <is>
          <t>Organization Settings (combined: Org Settings + Setting Group + User Setting)</t>
        </is>
      </c>
      <c r="D85" s="21" t="inlineStr">
        <is>
          <t>Config</t>
        </is>
      </c>
      <c r="E85" s="22" t="inlineStr">
        <is>
          <t>Medium</t>
        </is>
      </c>
      <c r="F85" s="33" t="inlineStr">
        <is>
          <t>0.75</t>
        </is>
      </c>
      <c r="G85" s="24" t="inlineStr">
        <is>
          <t>Not Started</t>
        </is>
      </c>
      <c r="H85" s="21" t="inlineStr">
        <is>
          <t>Not Started</t>
        </is>
      </c>
      <c r="I85" s="33" t="inlineStr">
        <is>
          <t>1</t>
        </is>
      </c>
      <c r="J85" s="24" t="inlineStr">
        <is>
          <t>Not Started</t>
        </is>
      </c>
      <c r="K85" s="21" t="n"/>
      <c r="L85" s="33" t="inlineStr">
        <is>
          <t>1</t>
        </is>
      </c>
      <c r="M85" s="24" t="inlineStr">
        <is>
          <t>Not Started</t>
        </is>
      </c>
      <c r="N85" s="21" t="inlineStr">
        <is>
          <t>1</t>
        </is>
      </c>
    </row>
    <row r="86">
      <c r="A86" s="21" t="n">
        <v>86</v>
      </c>
      <c r="B86" s="21" t="inlineStr">
        <is>
          <t>Settings</t>
        </is>
      </c>
      <c r="C86" s="21" t="inlineStr">
        <is>
          <t>API Management</t>
        </is>
      </c>
      <c r="D86" s="21" t="inlineStr">
        <is>
          <t>Config</t>
        </is>
      </c>
      <c r="E86" s="29" t="inlineStr">
        <is>
          <t>Low</t>
        </is>
      </c>
      <c r="F86" s="33" t="inlineStr">
        <is>
          <t>1</t>
        </is>
      </c>
      <c r="G86" s="24" t="inlineStr">
        <is>
          <t>Not Started</t>
        </is>
      </c>
      <c r="H86" s="21" t="inlineStr">
        <is>
          <t>N/A (Upcoming)</t>
        </is>
      </c>
      <c r="I86" s="33" t="inlineStr">
        <is>
          <t>1.5</t>
        </is>
      </c>
      <c r="J86" s="30" t="inlineStr">
        <is>
          <t>N/A (Upcoming)</t>
        </is>
      </c>
      <c r="K86" s="21" t="n"/>
      <c r="L86" s="33" t="inlineStr">
        <is>
          <t>1.5</t>
        </is>
      </c>
      <c r="M86" s="30" t="inlineStr">
        <is>
          <t>N/A (Upcoming)</t>
        </is>
      </c>
      <c r="N86" s="21" t="inlineStr">
        <is>
          <t>N/A</t>
        </is>
      </c>
    </row>
    <row r="87">
      <c r="A87" s="21" t="n">
        <v>87</v>
      </c>
      <c r="B87" s="21" t="inlineStr">
        <is>
          <t>Settings</t>
        </is>
      </c>
      <c r="C87" s="21" t="inlineStr">
        <is>
          <t>Integration Marketplace</t>
        </is>
      </c>
      <c r="D87" s="21" t="inlineStr">
        <is>
          <t>Config</t>
        </is>
      </c>
      <c r="E87" s="29" t="inlineStr">
        <is>
          <t>Low</t>
        </is>
      </c>
      <c r="F87" s="33" t="inlineStr">
        <is>
          <t>1</t>
        </is>
      </c>
      <c r="G87" s="24" t="inlineStr">
        <is>
          <t>Not Started</t>
        </is>
      </c>
      <c r="H87" s="21" t="inlineStr">
        <is>
          <t>N/A (Upcoming)</t>
        </is>
      </c>
      <c r="I87" s="33" t="inlineStr">
        <is>
          <t>1.5</t>
        </is>
      </c>
      <c r="J87" s="30" t="inlineStr">
        <is>
          <t>N/A (Upcoming)</t>
        </is>
      </c>
      <c r="K87" s="21" t="n"/>
      <c r="L87" s="33" t="inlineStr">
        <is>
          <t>1.5</t>
        </is>
      </c>
      <c r="M87" s="30" t="inlineStr">
        <is>
          <t>N/A (Upcoming)</t>
        </is>
      </c>
      <c r="N87" s="21" t="inlineStr">
        <is>
          <t>N/A</t>
        </is>
      </c>
    </row>
    <row r="88">
      <c r="A88" s="21" t="n">
        <v>88</v>
      </c>
      <c r="B88" s="21" t="inlineStr">
        <is>
          <t>Settings</t>
        </is>
      </c>
      <c r="C88" s="21" t="inlineStr">
        <is>
          <t>Accounting Integration</t>
        </is>
      </c>
      <c r="D88" s="21" t="inlineStr">
        <is>
          <t>Config</t>
        </is>
      </c>
      <c r="E88" s="29" t="inlineStr">
        <is>
          <t>Low</t>
        </is>
      </c>
      <c r="F88" s="33" t="inlineStr">
        <is>
          <t>1</t>
        </is>
      </c>
      <c r="G88" s="24" t="inlineStr">
        <is>
          <t>Not Started</t>
        </is>
      </c>
      <c r="H88" s="21" t="inlineStr">
        <is>
          <t>N/A (Upcoming)</t>
        </is>
      </c>
      <c r="I88" s="33" t="inlineStr">
        <is>
          <t>1.5</t>
        </is>
      </c>
      <c r="J88" s="30" t="inlineStr">
        <is>
          <t>N/A (Upcoming)</t>
        </is>
      </c>
      <c r="K88" s="21" t="n"/>
      <c r="L88" s="33" t="inlineStr">
        <is>
          <t>1.5</t>
        </is>
      </c>
      <c r="M88" s="30" t="inlineStr">
        <is>
          <t>N/A (Upcoming)</t>
        </is>
      </c>
      <c r="N88" s="21" t="inlineStr">
        <is>
          <t>N/A</t>
        </is>
      </c>
    </row>
    <row r="89">
      <c r="A89" s="21" t="n">
        <v>89</v>
      </c>
      <c r="B89" s="21" t="inlineStr">
        <is>
          <t>Settings</t>
        </is>
      </c>
      <c r="C89" s="21" t="inlineStr">
        <is>
          <t>Social Media Integration</t>
        </is>
      </c>
      <c r="D89" s="21" t="inlineStr">
        <is>
          <t>Config</t>
        </is>
      </c>
      <c r="E89" s="29" t="inlineStr">
        <is>
          <t>Low</t>
        </is>
      </c>
      <c r="F89" s="33" t="inlineStr">
        <is>
          <t>1</t>
        </is>
      </c>
      <c r="G89" s="24" t="inlineStr">
        <is>
          <t>Not Started</t>
        </is>
      </c>
      <c r="H89" s="21" t="inlineStr">
        <is>
          <t>N/A (Upcoming)</t>
        </is>
      </c>
      <c r="I89" s="33" t="inlineStr">
        <is>
          <t>1.5</t>
        </is>
      </c>
      <c r="J89" s="30" t="inlineStr">
        <is>
          <t>N/A (Upcoming)</t>
        </is>
      </c>
      <c r="K89" s="21" t="n"/>
      <c r="L89" s="33" t="inlineStr">
        <is>
          <t>1.5</t>
        </is>
      </c>
      <c r="M89" s="30" t="inlineStr">
        <is>
          <t>N/A (Upcoming)</t>
        </is>
      </c>
      <c r="N89" s="21" t="inlineStr">
        <is>
          <t>N/A</t>
        </is>
      </c>
    </row>
    <row r="90">
      <c r="A90" s="21" t="n">
        <v>90</v>
      </c>
      <c r="B90" s="21" t="inlineStr">
        <is>
          <t>AI Intelligence</t>
        </is>
      </c>
      <c r="C90" s="21" t="inlineStr">
        <is>
          <t>Engagement Scoring</t>
        </is>
      </c>
      <c r="D90" s="21" t="inlineStr">
        <is>
          <t>FLOW</t>
        </is>
      </c>
      <c r="E90" s="29" t="inlineStr">
        <is>
          <t>Low</t>
        </is>
      </c>
      <c r="F90" s="33" t="inlineStr">
        <is>
          <t>2.5</t>
        </is>
      </c>
      <c r="G90" s="24" t="inlineStr">
        <is>
          <t>Not Started</t>
        </is>
      </c>
      <c r="H90" s="21" t="inlineStr">
        <is>
          <t>Not Started</t>
        </is>
      </c>
      <c r="I90" s="33" t="inlineStr">
        <is>
          <t>3</t>
        </is>
      </c>
      <c r="J90" s="24" t="inlineStr">
        <is>
          <t>Not Started</t>
        </is>
      </c>
      <c r="K90" s="21" t="n"/>
      <c r="L90" s="33" t="inlineStr">
        <is>
          <t>3</t>
        </is>
      </c>
      <c r="M90" s="24" t="inlineStr">
        <is>
          <t>Not Started</t>
        </is>
      </c>
      <c r="N90" s="21" t="inlineStr">
        <is>
          <t>1</t>
        </is>
      </c>
    </row>
    <row r="91">
      <c r="A91" s="21" t="n">
        <v>91</v>
      </c>
      <c r="B91" s="21" t="inlineStr">
        <is>
          <t>AI Intelligence</t>
        </is>
      </c>
      <c r="C91" s="21" t="inlineStr">
        <is>
          <t>Churn Prediction</t>
        </is>
      </c>
      <c r="D91" s="21" t="inlineStr">
        <is>
          <t>FLOW</t>
        </is>
      </c>
      <c r="E91" s="29" t="inlineStr">
        <is>
          <t>Low</t>
        </is>
      </c>
      <c r="F91" s="33" t="inlineStr">
        <is>
          <t>2.5</t>
        </is>
      </c>
      <c r="G91" s="24" t="inlineStr">
        <is>
          <t>Not Started</t>
        </is>
      </c>
      <c r="H91" s="21" t="inlineStr">
        <is>
          <t>Not Started</t>
        </is>
      </c>
      <c r="I91" s="33" t="inlineStr">
        <is>
          <t>3</t>
        </is>
      </c>
      <c r="J91" s="24" t="inlineStr">
        <is>
          <t>Not Started</t>
        </is>
      </c>
      <c r="K91" s="21" t="n"/>
      <c r="L91" s="33" t="inlineStr">
        <is>
          <t>3</t>
        </is>
      </c>
      <c r="M91" s="24" t="inlineStr">
        <is>
          <t>Not Started</t>
        </is>
      </c>
      <c r="N91" s="21" t="inlineStr">
        <is>
          <t>1</t>
        </is>
      </c>
    </row>
    <row r="92">
      <c r="A92" s="21" t="n">
        <v>92</v>
      </c>
      <c r="B92" s="21" t="inlineStr">
        <is>
          <t>AI Intelligence</t>
        </is>
      </c>
      <c r="C92" s="21" t="inlineStr">
        <is>
          <t>Action Board</t>
        </is>
      </c>
      <c r="D92" s="21" t="inlineStr">
        <is>
          <t>FLOW</t>
        </is>
      </c>
      <c r="E92" s="29" t="inlineStr">
        <is>
          <t>Low</t>
        </is>
      </c>
      <c r="F92" s="33" t="inlineStr">
        <is>
          <t>2.5</t>
        </is>
      </c>
      <c r="G92" s="24" t="inlineStr">
        <is>
          <t>Not Started</t>
        </is>
      </c>
      <c r="H92" s="21" t="inlineStr">
        <is>
          <t>Not Started</t>
        </is>
      </c>
      <c r="I92" s="33" t="inlineStr">
        <is>
          <t>3</t>
        </is>
      </c>
      <c r="J92" s="24" t="inlineStr">
        <is>
          <t>Not Started</t>
        </is>
      </c>
      <c r="K92" s="21" t="n"/>
      <c r="L92" s="33" t="inlineStr">
        <is>
          <t>3</t>
        </is>
      </c>
      <c r="M92" s="24" t="inlineStr">
        <is>
          <t>Not Started</t>
        </is>
      </c>
      <c r="N92" s="21" t="inlineStr">
        <is>
          <t>1</t>
        </is>
      </c>
    </row>
    <row r="93">
      <c r="A93" s="21" t="n">
        <v>93</v>
      </c>
      <c r="B93" s="21" t="inlineStr">
        <is>
          <t>AI Intelligence</t>
        </is>
      </c>
      <c r="C93" s="21" t="inlineStr">
        <is>
          <t>AI Draft</t>
        </is>
      </c>
      <c r="D93" s="21" t="inlineStr">
        <is>
          <t>FLOW</t>
        </is>
      </c>
      <c r="E93" s="29" t="inlineStr">
        <is>
          <t>Low</t>
        </is>
      </c>
      <c r="F93" s="33" t="inlineStr">
        <is>
          <t>2.5</t>
        </is>
      </c>
      <c r="G93" s="24" t="inlineStr">
        <is>
          <t>Not Started</t>
        </is>
      </c>
      <c r="H93" s="21" t="inlineStr">
        <is>
          <t>N/A (Upcoming)</t>
        </is>
      </c>
      <c r="I93" s="33" t="inlineStr">
        <is>
          <t>3</t>
        </is>
      </c>
      <c r="J93" s="30" t="inlineStr">
        <is>
          <t>N/A (Upcoming)</t>
        </is>
      </c>
      <c r="K93" s="21" t="n"/>
      <c r="L93" s="33" t="inlineStr">
        <is>
          <t>3</t>
        </is>
      </c>
      <c r="M93" s="30" t="inlineStr">
        <is>
          <t>N/A (Upcoming)</t>
        </is>
      </c>
      <c r="N93" s="21" t="inlineStr">
        <is>
          <t>N/A</t>
        </is>
      </c>
    </row>
    <row r="94">
      <c r="A94" s="21" t="n">
        <v>94</v>
      </c>
      <c r="B94" s="21" t="inlineStr">
        <is>
          <t>AI Intelligence</t>
        </is>
      </c>
      <c r="C94" s="21" t="inlineStr">
        <is>
          <t>NL Reporting</t>
        </is>
      </c>
      <c r="D94" s="21" t="inlineStr">
        <is>
          <t>FLOW</t>
        </is>
      </c>
      <c r="E94" s="29" t="inlineStr">
        <is>
          <t>Low</t>
        </is>
      </c>
      <c r="F94" s="33" t="inlineStr">
        <is>
          <t>2.5</t>
        </is>
      </c>
      <c r="G94" s="24" t="inlineStr">
        <is>
          <t>Not Started</t>
        </is>
      </c>
      <c r="H94" s="21" t="inlineStr">
        <is>
          <t>N/A (Upcoming)</t>
        </is>
      </c>
      <c r="I94" s="33" t="inlineStr">
        <is>
          <t>3</t>
        </is>
      </c>
      <c r="J94" s="30" t="inlineStr">
        <is>
          <t>N/A (Upcoming)</t>
        </is>
      </c>
      <c r="K94" s="21" t="n"/>
      <c r="L94" s="33" t="inlineStr">
        <is>
          <t>3</t>
        </is>
      </c>
      <c r="M94" s="30" t="inlineStr">
        <is>
          <t>N/A (Upcoming)</t>
        </is>
      </c>
      <c r="N94" s="21" t="inlineStr">
        <is>
          <t>N/A</t>
        </is>
      </c>
    </row>
    <row r="95">
      <c r="A95" s="21" t="n">
        <v>95</v>
      </c>
      <c r="B95" s="21" t="inlineStr">
        <is>
          <t>AI Intelligence</t>
        </is>
      </c>
      <c r="C95" s="21" t="inlineStr">
        <is>
          <t>Predictive Analytics</t>
        </is>
      </c>
      <c r="D95" s="21" t="inlineStr">
        <is>
          <t>Dashboard</t>
        </is>
      </c>
      <c r="E95" s="29" t="inlineStr">
        <is>
          <t>Low</t>
        </is>
      </c>
      <c r="F95" s="33" t="inlineStr">
        <is>
          <t>2.5</t>
        </is>
      </c>
      <c r="G95" s="24" t="inlineStr">
        <is>
          <t>Not Started</t>
        </is>
      </c>
      <c r="H95" s="21" t="inlineStr">
        <is>
          <t>N/A (Upcoming)</t>
        </is>
      </c>
      <c r="I95" s="33" t="inlineStr">
        <is>
          <t>3</t>
        </is>
      </c>
      <c r="J95" s="30" t="inlineStr">
        <is>
          <t>N/A (Upcoming)</t>
        </is>
      </c>
      <c r="K95" s="21" t="n"/>
      <c r="L95" s="33" t="inlineStr">
        <is>
          <t>3</t>
        </is>
      </c>
      <c r="M95" s="30" t="inlineStr">
        <is>
          <t>N/A (Upcoming)</t>
        </is>
      </c>
      <c r="N95" s="21" t="inlineStr">
        <is>
          <t>N/A</t>
        </is>
      </c>
    </row>
    <row r="96">
      <c r="A96" s="21" t="n">
        <v>96</v>
      </c>
      <c r="B96" s="21" t="inlineStr">
        <is>
          <t>Reports</t>
        </is>
      </c>
      <c r="C96" s="21" t="inlineStr">
        <is>
          <t>Custom Report Builder</t>
        </is>
      </c>
      <c r="D96" s="21" t="inlineStr">
        <is>
          <t>FLOW</t>
        </is>
      </c>
      <c r="E96" s="22" t="inlineStr">
        <is>
          <t>Medium</t>
        </is>
      </c>
      <c r="F96" s="33" t="inlineStr">
        <is>
          <t>1</t>
        </is>
      </c>
      <c r="G96" s="28" t="inlineStr">
        <is>
          <t>In Progress (Partial)</t>
        </is>
      </c>
      <c r="H96" s="21" t="inlineStr">
        <is>
          <t>Not Started</t>
        </is>
      </c>
      <c r="I96" s="33" t="inlineStr">
        <is>
          <t>1.5</t>
        </is>
      </c>
      <c r="J96" s="24" t="inlineStr">
        <is>
          <t>Not Started</t>
        </is>
      </c>
      <c r="K96" s="21" t="n"/>
      <c r="L96" s="33" t="inlineStr">
        <is>
          <t>1.5</t>
        </is>
      </c>
      <c r="M96" s="24" t="inlineStr">
        <is>
          <t>Not Started</t>
        </is>
      </c>
      <c r="N96" s="21" t="inlineStr">
        <is>
          <t>1.5</t>
        </is>
      </c>
    </row>
    <row r="97">
      <c r="A97" s="21" t="n">
        <v>97</v>
      </c>
      <c r="B97" s="21" t="inlineStr">
        <is>
          <t>Reports</t>
        </is>
      </c>
      <c r="C97" s="21" t="inlineStr">
        <is>
          <t>PowerBI Viewer</t>
        </is>
      </c>
      <c r="D97" s="21" t="inlineStr">
        <is>
          <t>Config</t>
        </is>
      </c>
      <c r="E97" s="22" t="inlineStr">
        <is>
          <t>Medium</t>
        </is>
      </c>
      <c r="F97" s="33" t="inlineStr">
        <is>
          <t>0.75</t>
        </is>
      </c>
      <c r="G97" s="28" t="inlineStr">
        <is>
          <t>In Progress (Partial)</t>
        </is>
      </c>
      <c r="H97" s="21" t="inlineStr">
        <is>
          <t>Not Started</t>
        </is>
      </c>
      <c r="I97" s="33" t="inlineStr">
        <is>
          <t>1</t>
        </is>
      </c>
      <c r="J97" s="24" t="inlineStr">
        <is>
          <t>Not Started</t>
        </is>
      </c>
      <c r="K97" s="21" t="n"/>
      <c r="L97" s="33" t="inlineStr">
        <is>
          <t>1</t>
        </is>
      </c>
      <c r="M97" s="24" t="inlineStr">
        <is>
          <t>Not Started</t>
        </is>
      </c>
      <c r="N97" s="21" t="inlineStr">
        <is>
          <t>1</t>
        </is>
      </c>
    </row>
    <row r="98">
      <c r="A98" s="21" t="n">
        <v>98</v>
      </c>
      <c r="B98" s="21" t="inlineStr">
        <is>
          <t>Reports</t>
        </is>
      </c>
      <c r="C98" s="21" t="inlineStr">
        <is>
          <t>Donor Retention Dashboard</t>
        </is>
      </c>
      <c r="D98" s="21" t="inlineStr">
        <is>
          <t>Dashboard</t>
        </is>
      </c>
      <c r="E98" s="29" t="inlineStr">
        <is>
          <t>Low</t>
        </is>
      </c>
      <c r="F98" s="33" t="inlineStr">
        <is>
          <t>0.75</t>
        </is>
      </c>
      <c r="G98" s="24" t="inlineStr">
        <is>
          <t>Not Started</t>
        </is>
      </c>
      <c r="H98" s="21" t="inlineStr">
        <is>
          <t>N/A (Upcoming)</t>
        </is>
      </c>
      <c r="I98" s="33" t="inlineStr">
        <is>
          <t>1</t>
        </is>
      </c>
      <c r="J98" s="30" t="inlineStr">
        <is>
          <t>N/A (Upcoming)</t>
        </is>
      </c>
      <c r="K98" s="21" t="n"/>
      <c r="L98" s="33" t="inlineStr">
        <is>
          <t>1</t>
        </is>
      </c>
      <c r="M98" s="30" t="inlineStr">
        <is>
          <t>N/A (Upcoming)</t>
        </is>
      </c>
      <c r="N98" s="21" t="inlineStr">
        <is>
          <t>N/A</t>
        </is>
      </c>
    </row>
    <row r="99">
      <c r="A99" s="21" t="n">
        <v>99</v>
      </c>
      <c r="B99" s="21" t="inlineStr">
        <is>
          <t>Reports</t>
        </is>
      </c>
      <c r="C99" s="21" t="inlineStr">
        <is>
          <t>Report Catalog</t>
        </is>
      </c>
      <c r="D99" s="21" t="inlineStr">
        <is>
          <t>Dashboard</t>
        </is>
      </c>
      <c r="E99" s="29" t="inlineStr">
        <is>
          <t>Low</t>
        </is>
      </c>
      <c r="F99" s="33" t="inlineStr">
        <is>
          <t>0.75</t>
        </is>
      </c>
      <c r="G99" s="24" t="inlineStr">
        <is>
          <t>Not Started</t>
        </is>
      </c>
      <c r="H99" s="21" t="inlineStr">
        <is>
          <t>N/A (Upcoming)</t>
        </is>
      </c>
      <c r="I99" s="33" t="inlineStr">
        <is>
          <t>1</t>
        </is>
      </c>
      <c r="J99" s="30" t="inlineStr">
        <is>
          <t>N/A (Upcoming)</t>
        </is>
      </c>
      <c r="K99" s="21" t="n"/>
      <c r="L99" s="33" t="inlineStr">
        <is>
          <t>1</t>
        </is>
      </c>
      <c r="M99" s="30" t="inlineStr">
        <is>
          <t>N/A (Upcoming)</t>
        </is>
      </c>
      <c r="N99" s="21" t="inlineStr">
        <is>
          <t>N/A</t>
        </is>
      </c>
    </row>
    <row r="100">
      <c r="A100" s="21" t="n">
        <v>100</v>
      </c>
      <c r="B100" s="21" t="inlineStr">
        <is>
          <t>Reports</t>
        </is>
      </c>
      <c r="C100" s="21" t="inlineStr">
        <is>
          <t>HTML Report Viewer</t>
        </is>
      </c>
      <c r="D100" s="21" t="inlineStr">
        <is>
          <t>Config</t>
        </is>
      </c>
      <c r="E100" s="29" t="inlineStr">
        <is>
          <t>Low</t>
        </is>
      </c>
      <c r="F100" s="33" t="inlineStr">
        <is>
          <t>0.5</t>
        </is>
      </c>
      <c r="G100" s="24" t="inlineStr">
        <is>
          <t>Not Started</t>
        </is>
      </c>
      <c r="H100" s="21" t="inlineStr">
        <is>
          <t>N/A (Upcoming)</t>
        </is>
      </c>
      <c r="I100" s="33" t="inlineStr">
        <is>
          <t>0.75</t>
        </is>
      </c>
      <c r="J100" s="30" t="inlineStr">
        <is>
          <t>N/A (Upcoming)</t>
        </is>
      </c>
      <c r="K100" s="21" t="n"/>
      <c r="L100" s="33" t="inlineStr">
        <is>
          <t>0.75</t>
        </is>
      </c>
      <c r="M100" s="30" t="inlineStr">
        <is>
          <t>N/A (Upcoming)</t>
        </is>
      </c>
      <c r="N100" s="21" t="inlineStr">
        <is>
          <t>N/A</t>
        </is>
      </c>
    </row>
    <row r="101">
      <c r="A101" s="21" t="n">
        <v>101</v>
      </c>
      <c r="B101" s="21" t="inlineStr">
        <is>
          <t>Reports</t>
        </is>
      </c>
      <c r="C101" s="21" t="inlineStr">
        <is>
          <t>Scheduled Reports</t>
        </is>
      </c>
      <c r="D101" s="21" t="inlineStr">
        <is>
          <t>Config</t>
        </is>
      </c>
      <c r="E101" s="29" t="inlineStr">
        <is>
          <t>Low</t>
        </is>
      </c>
      <c r="F101" s="33" t="inlineStr">
        <is>
          <t>0.75</t>
        </is>
      </c>
      <c r="G101" s="24" t="inlineStr">
        <is>
          <t>Not Started</t>
        </is>
      </c>
      <c r="H101" s="21" t="inlineStr">
        <is>
          <t>N/A (Upcoming)</t>
        </is>
      </c>
      <c r="I101" s="33" t="inlineStr">
        <is>
          <t>1</t>
        </is>
      </c>
      <c r="J101" s="30" t="inlineStr">
        <is>
          <t>N/A (Upcoming)</t>
        </is>
      </c>
      <c r="K101" s="21" t="n"/>
      <c r="L101" s="33" t="inlineStr">
        <is>
          <t>1</t>
        </is>
      </c>
      <c r="M101" s="30" t="inlineStr">
        <is>
          <t>N/A (Upcoming)</t>
        </is>
      </c>
      <c r="N101" s="21" t="inlineStr">
        <is>
          <t>N/A</t>
        </is>
      </c>
    </row>
    <row r="102">
      <c r="A102" s="21" t="inlineStr">
        <is>
          <t>102-118</t>
        </is>
      </c>
      <c r="B102" s="21" t="inlineStr">
        <is>
          <t>Mobile</t>
        </is>
      </c>
      <c r="C102" s="21" t="inlineStr">
        <is>
          <t>Donor App (8 screens) + Agent App (9 screens)</t>
        </is>
      </c>
      <c r="D102" s="21" t="inlineStr">
        <is>
          <t>Mobile</t>
        </is>
      </c>
      <c r="E102" s="29" t="inlineStr">
        <is>
          <t>Low</t>
        </is>
      </c>
      <c r="F102" s="33" t="inlineStr">
        <is>
          <t>—</t>
        </is>
      </c>
      <c r="G102" s="24" t="inlineStr">
        <is>
          <t>Not Started</t>
        </is>
      </c>
      <c r="H102" s="21" t="inlineStr">
        <is>
          <t>N/A (Upcoming)</t>
        </is>
      </c>
      <c r="I102" s="33" t="inlineStr">
        <is>
          <t>N/A</t>
        </is>
      </c>
      <c r="J102" s="30" t="inlineStr">
        <is>
          <t>N/A (Upcoming)</t>
        </is>
      </c>
      <c r="K102" s="21" t="n"/>
      <c r="L102" s="33" t="inlineStr">
        <is>
          <t>N/A</t>
        </is>
      </c>
      <c r="M102" s="30" t="inlineStr">
        <is>
          <t>N/A (Upcoming)</t>
        </is>
      </c>
      <c r="N102" s="21" t="inlineStr">
        <is>
          <t>N/A</t>
        </is>
      </c>
    </row>
    <row r="103">
      <c r="A103" s="21" t="n">
        <v>119</v>
      </c>
      <c r="B103" s="21" t="inlineStr">
        <is>
          <t>Root / Layout</t>
        </is>
      </c>
      <c r="C103" s="21" t="inlineStr">
        <is>
          <t>Login</t>
        </is>
      </c>
      <c r="D103" s="21" t="inlineStr">
        <is>
          <t>Auth</t>
        </is>
      </c>
      <c r="E103" s="22" t="inlineStr">
        <is>
          <t>Medium</t>
        </is>
      </c>
      <c r="F103" s="33" t="inlineStr">
        <is>
          <t>0.5</t>
        </is>
      </c>
      <c r="G103" s="24" t="inlineStr">
        <is>
          <t>Not Started</t>
        </is>
      </c>
      <c r="H103" s="21" t="inlineStr">
        <is>
          <t>Not Started</t>
        </is>
      </c>
      <c r="I103" s="33" t="inlineStr">
        <is>
          <t>0.75</t>
        </is>
      </c>
      <c r="J103" s="24" t="inlineStr">
        <is>
          <t>Not Started</t>
        </is>
      </c>
      <c r="K103" s="21" t="n"/>
      <c r="L103" s="33" t="inlineStr">
        <is>
          <t>0.75</t>
        </is>
      </c>
      <c r="M103" s="24" t="inlineStr">
        <is>
          <t>Not Started</t>
        </is>
      </c>
      <c r="N103" s="21" t="inlineStr">
        <is>
          <t>0.75</t>
        </is>
      </c>
    </row>
    <row r="104">
      <c r="A104" s="21" t="n">
        <v>120</v>
      </c>
      <c r="B104" s="21" t="inlineStr">
        <is>
          <t>Root / Layout</t>
        </is>
      </c>
      <c r="C104" s="21" t="inlineStr">
        <is>
          <t>Main Dashboard</t>
        </is>
      </c>
      <c r="D104" s="21" t="inlineStr">
        <is>
          <t>Dashboard</t>
        </is>
      </c>
      <c r="E104" s="22" t="inlineStr">
        <is>
          <t>Medium</t>
        </is>
      </c>
      <c r="F104" s="33" t="inlineStr">
        <is>
          <t>1</t>
        </is>
      </c>
      <c r="G104" s="24" t="inlineStr">
        <is>
          <t>Not Started</t>
        </is>
      </c>
      <c r="H104" s="21" t="inlineStr">
        <is>
          <t>Not Started</t>
        </is>
      </c>
      <c r="I104" s="33" t="inlineStr">
        <is>
          <t>1.5</t>
        </is>
      </c>
      <c r="J104" s="24" t="inlineStr">
        <is>
          <t>Not Started</t>
        </is>
      </c>
      <c r="K104" s="21" t="n"/>
      <c r="L104" s="33" t="inlineStr">
        <is>
          <t>1.5</t>
        </is>
      </c>
      <c r="M104" s="24" t="inlineStr">
        <is>
          <t>Not Started</t>
        </is>
      </c>
      <c r="N104" s="21" t="inlineStr">
        <is>
          <t>1.5</t>
        </is>
      </c>
    </row>
    <row r="105">
      <c r="A105" s="21" t="n">
        <v>121</v>
      </c>
      <c r="B105" s="21" t="inlineStr">
        <is>
          <t>Root / Layout</t>
        </is>
      </c>
      <c r="C105" s="21" t="inlineStr">
        <is>
          <t>App Layout</t>
        </is>
      </c>
      <c r="D105" s="21" t="inlineStr">
        <is>
          <t>Layout</t>
        </is>
      </c>
      <c r="E105" s="22" t="inlineStr">
        <is>
          <t>Medium</t>
        </is>
      </c>
      <c r="F105" s="33" t="inlineStr">
        <is>
          <t>0.75</t>
        </is>
      </c>
      <c r="G105" s="24" t="inlineStr">
        <is>
          <t>Not Started</t>
        </is>
      </c>
      <c r="H105" s="21" t="inlineStr">
        <is>
          <t>Not Started</t>
        </is>
      </c>
      <c r="I105" s="33" t="inlineStr">
        <is>
          <t>1</t>
        </is>
      </c>
      <c r="J105" s="24" t="inlineStr">
        <is>
          <t>Not Started</t>
        </is>
      </c>
      <c r="K105" s="21" t="n"/>
      <c r="L105" s="33" t="inlineStr">
        <is>
          <t>1</t>
        </is>
      </c>
      <c r="M105" s="24" t="inlineStr">
        <is>
          <t>Not Started</t>
        </is>
      </c>
      <c r="N105" s="21" t="inlineStr">
        <is>
          <t>1</t>
        </is>
      </c>
    </row>
    <row r="106">
      <c r="A106" s="21" t="n">
        <v>122</v>
      </c>
      <c r="B106" s="21" t="inlineStr">
        <is>
          <t>Contacts</t>
        </is>
      </c>
      <c r="C106" s="21" t="inlineStr">
        <is>
          <t>Contact Source</t>
        </is>
      </c>
      <c r="D106" s="21" t="inlineStr">
        <is>
          <t>MASTER_GRID</t>
        </is>
      </c>
      <c r="E106" s="22" t="inlineStr">
        <is>
          <t>Medium</t>
        </is>
      </c>
      <c r="F106" s="33" t="inlineStr">
        <is>
          <t>0.5</t>
        </is>
      </c>
      <c r="G106" s="23" t="inlineStr">
        <is>
          <t>Completed</t>
        </is>
      </c>
      <c r="H106" s="21" t="inlineStr">
        <is>
          <t>Karthick</t>
        </is>
      </c>
      <c r="I106" s="33" t="inlineStr">
        <is>
          <t>0.75</t>
        </is>
      </c>
      <c r="J106" s="23" t="inlineStr">
        <is>
          <t>Passed</t>
        </is>
      </c>
      <c r="K106" s="21" t="inlineStr">
        <is>
          <t>Karthick</t>
        </is>
      </c>
      <c r="L106" s="33" t="inlineStr">
        <is>
          <t>0.75</t>
        </is>
      </c>
      <c r="M106" s="24" t="inlineStr">
        <is>
          <t>Not Started</t>
        </is>
      </c>
      <c r="N106" s="21" t="inlineStr">
        <is>
          <t>0.75</t>
        </is>
      </c>
    </row>
    <row r="107">
      <c r="A107" s="32" t="n">
        <v>123</v>
      </c>
      <c r="B107" s="25" t="inlineStr">
        <is>
          <t>Contacts</t>
        </is>
      </c>
      <c r="C107" s="25" t="inlineStr">
        <is>
          <t>Contact Dashboard</t>
        </is>
      </c>
      <c r="D107" s="25" t="inlineStr">
        <is>
          <t>Dashboard</t>
        </is>
      </c>
      <c r="E107" s="22" t="inlineStr">
        <is>
          <t>Medium</t>
        </is>
      </c>
      <c r="F107" s="33" t="inlineStr">
        <is>
          <t>0.75</t>
        </is>
      </c>
      <c r="G107" s="23" t="inlineStr">
        <is>
          <t>Completed</t>
        </is>
      </c>
      <c r="H107" s="21" t="inlineStr">
        <is>
          <t>Karthick</t>
        </is>
      </c>
      <c r="I107" s="33" t="inlineStr">
        <is>
          <t>1</t>
        </is>
      </c>
      <c r="J107" s="24" t="inlineStr">
        <is>
          <t>Not Started</t>
        </is>
      </c>
      <c r="K107" s="25" t="n"/>
      <c r="L107" s="33" t="inlineStr">
        <is>
          <t>1</t>
        </is>
      </c>
      <c r="M107" s="24" t="inlineStr">
        <is>
          <t>Not Started</t>
        </is>
      </c>
      <c r="N107" s="25" t="inlineStr">
        <is>
          <t>1</t>
        </is>
      </c>
    </row>
    <row r="108">
      <c r="A108" s="32" t="n">
        <v>124</v>
      </c>
      <c r="B108" s="25" t="inlineStr">
        <is>
          <t>Fundraising</t>
        </is>
      </c>
      <c r="C108" s="25" t="inlineStr">
        <is>
          <t>Donation Dashboard</t>
        </is>
      </c>
      <c r="D108" s="25" t="inlineStr">
        <is>
          <t>Dashboard</t>
        </is>
      </c>
      <c r="E108" s="22" t="inlineStr">
        <is>
          <t>Medium</t>
        </is>
      </c>
      <c r="F108" s="33" t="inlineStr">
        <is>
          <t>0.75</t>
        </is>
      </c>
      <c r="G108" s="23" t="inlineStr">
        <is>
          <t>Completed</t>
        </is>
      </c>
      <c r="H108" s="21" t="inlineStr">
        <is>
          <t>Karthick</t>
        </is>
      </c>
      <c r="I108" s="33" t="inlineStr">
        <is>
          <t>1</t>
        </is>
      </c>
      <c r="J108" s="24" t="inlineStr">
        <is>
          <t>Not Started</t>
        </is>
      </c>
      <c r="K108" s="25" t="n"/>
      <c r="L108" s="33" t="inlineStr">
        <is>
          <t>1</t>
        </is>
      </c>
      <c r="M108" s="24" t="inlineStr">
        <is>
          <t>Not Started</t>
        </is>
      </c>
      <c r="N108" s="25" t="inlineStr">
        <is>
          <t>1</t>
        </is>
      </c>
    </row>
    <row r="109">
      <c r="A109" s="32" t="n">
        <v>125</v>
      </c>
      <c r="B109" s="25" t="inlineStr">
        <is>
          <t>Communication</t>
        </is>
      </c>
      <c r="C109" s="25" t="inlineStr">
        <is>
          <t>Communication Dashboard</t>
        </is>
      </c>
      <c r="D109" s="25" t="inlineStr">
        <is>
          <t>Dashboard</t>
        </is>
      </c>
      <c r="E109" s="22" t="inlineStr">
        <is>
          <t>Medium</t>
        </is>
      </c>
      <c r="F109" s="33" t="inlineStr">
        <is>
          <t>0.75</t>
        </is>
      </c>
      <c r="G109" s="23" t="inlineStr">
        <is>
          <t>Completed</t>
        </is>
      </c>
      <c r="H109" s="25" t="inlineStr">
        <is>
          <t>Karthick</t>
        </is>
      </c>
      <c r="I109" s="33" t="inlineStr">
        <is>
          <t>1</t>
        </is>
      </c>
      <c r="J109" s="24" t="inlineStr">
        <is>
          <t>Not Started</t>
        </is>
      </c>
      <c r="K109" s="25" t="n"/>
      <c r="L109" s="33" t="inlineStr">
        <is>
          <t>1</t>
        </is>
      </c>
      <c r="M109" s="24" t="inlineStr">
        <is>
          <t>Not Started</t>
        </is>
      </c>
      <c r="N109" s="25" t="inlineStr">
        <is>
          <t>1</t>
        </is>
      </c>
    </row>
    <row r="110">
      <c r="A110" s="32" t="n">
        <v>126</v>
      </c>
      <c r="B110" s="25" t="inlineStr">
        <is>
          <t>Administration</t>
        </is>
      </c>
      <c r="C110" s="25" t="inlineStr">
        <is>
          <t>Modules</t>
        </is>
      </c>
      <c r="D110" s="25" t="inlineStr">
        <is>
          <t>MASTER_GRID</t>
        </is>
      </c>
      <c r="E110" s="27" t="inlineStr">
        <is>
          <t>High</t>
        </is>
      </c>
      <c r="F110" s="33" t="inlineStr">
        <is>
          <t>0.5</t>
        </is>
      </c>
      <c r="G110" s="23" t="inlineStr">
        <is>
          <t>Completed</t>
        </is>
      </c>
      <c r="H110" s="25" t="inlineStr">
        <is>
          <t>Karthick</t>
        </is>
      </c>
      <c r="I110" s="33" t="inlineStr">
        <is>
          <t>0.75</t>
        </is>
      </c>
      <c r="J110" s="24" t="inlineStr">
        <is>
          <t>Not Started</t>
        </is>
      </c>
      <c r="K110" s="25" t="n"/>
      <c r="L110" s="33" t="inlineStr">
        <is>
          <t>0.75</t>
        </is>
      </c>
      <c r="M110" s="24" t="inlineStr">
        <is>
          <t>Not Started</t>
        </is>
      </c>
      <c r="N110" s="25" t="inlineStr">
        <is>
          <t>0.75</t>
        </is>
      </c>
    </row>
    <row r="111">
      <c r="A111" s="32" t="n">
        <v>130</v>
      </c>
      <c r="B111" s="25" t="inlineStr">
        <is>
          <t>Certificate</t>
        </is>
      </c>
      <c r="C111" s="25" t="inlineStr">
        <is>
          <t>Print Certificates</t>
        </is>
      </c>
      <c r="D111" s="25" t="inlineStr">
        <is>
          <t>FLOW</t>
        </is>
      </c>
      <c r="E111" s="22" t="inlineStr">
        <is>
          <t>Medium</t>
        </is>
      </c>
      <c r="F111" s="33" t="inlineStr">
        <is>
          <t>0.75</t>
        </is>
      </c>
      <c r="G111" s="24" t="inlineStr">
        <is>
          <t>Not Started</t>
        </is>
      </c>
      <c r="H111" s="25" t="inlineStr">
        <is>
          <t>Not Started</t>
        </is>
      </c>
      <c r="I111" s="33" t="inlineStr">
        <is>
          <t>1</t>
        </is>
      </c>
      <c r="J111" s="24" t="inlineStr">
        <is>
          <t>Not Started</t>
        </is>
      </c>
      <c r="K111" s="25" t="n"/>
      <c r="L111" s="33" t="inlineStr">
        <is>
          <t>1</t>
        </is>
      </c>
      <c r="M111" s="24" t="inlineStr">
        <is>
          <t>Not Started</t>
        </is>
      </c>
      <c r="N111" s="25" t="inlineStr">
        <is>
          <t>1</t>
        </is>
      </c>
    </row>
    <row r="112">
      <c r="A112" s="32" t="n">
        <v>131</v>
      </c>
      <c r="B112" s="25" t="inlineStr">
        <is>
          <t>Certificate</t>
        </is>
      </c>
      <c r="C112" s="25" t="inlineStr">
        <is>
          <t>Process Certificates</t>
        </is>
      </c>
      <c r="D112" s="25" t="inlineStr">
        <is>
          <t>FLOW</t>
        </is>
      </c>
      <c r="E112" s="22" t="inlineStr">
        <is>
          <t>Medium</t>
        </is>
      </c>
      <c r="F112" s="33" t="inlineStr">
        <is>
          <t>0.75</t>
        </is>
      </c>
      <c r="G112" s="24" t="inlineStr">
        <is>
          <t>Not Started</t>
        </is>
      </c>
      <c r="H112" s="25" t="inlineStr">
        <is>
          <t>Not Started</t>
        </is>
      </c>
      <c r="I112" s="33" t="inlineStr">
        <is>
          <t>1</t>
        </is>
      </c>
      <c r="J112" s="24" t="inlineStr">
        <is>
          <t>Not Started</t>
        </is>
      </c>
      <c r="K112" s="25" t="n"/>
      <c r="L112" s="33" t="inlineStr">
        <is>
          <t>1</t>
        </is>
      </c>
      <c r="M112" s="24" t="inlineStr">
        <is>
          <t>Not Started</t>
        </is>
      </c>
      <c r="N112" s="25" t="inlineStr">
        <is>
          <t>1</t>
        </is>
      </c>
    </row>
    <row r="113">
      <c r="A113" s="32" t="n">
        <v>132</v>
      </c>
      <c r="B113" s="25" t="inlineStr">
        <is>
          <t>Communication</t>
        </is>
      </c>
      <c r="C113" s="25" t="inlineStr">
        <is>
          <t>Email Keywords</t>
        </is>
      </c>
      <c r="D113" s="25" t="inlineStr">
        <is>
          <t>MASTER_GRID</t>
        </is>
      </c>
      <c r="E113" s="22" t="inlineStr">
        <is>
          <t>Medium</t>
        </is>
      </c>
      <c r="F113" s="33" t="inlineStr">
        <is>
          <t>0.5</t>
        </is>
      </c>
      <c r="G113" s="24" t="inlineStr">
        <is>
          <t>Not Started</t>
        </is>
      </c>
      <c r="H113" s="25" t="inlineStr">
        <is>
          <t>Not Started</t>
        </is>
      </c>
      <c r="I113" s="33" t="inlineStr">
        <is>
          <t>0.75</t>
        </is>
      </c>
      <c r="J113" s="24" t="inlineStr">
        <is>
          <t>Not Started</t>
        </is>
      </c>
      <c r="K113" s="25" t="n"/>
      <c r="L113" s="33" t="inlineStr">
        <is>
          <t>0.75</t>
        </is>
      </c>
      <c r="M113" s="24" t="inlineStr">
        <is>
          <t>Not Started</t>
        </is>
      </c>
      <c r="N113" s="25" t="inlineStr">
        <is>
          <t>0.75</t>
        </is>
      </c>
    </row>
    <row r="114">
      <c r="A114" s="32" t="n">
        <v>133</v>
      </c>
      <c r="B114" s="25" t="inlineStr">
        <is>
          <t>Field Collection</t>
        </is>
      </c>
      <c r="C114" s="25" t="inlineStr">
        <is>
          <t>Record Collection</t>
        </is>
      </c>
      <c r="D114" s="25" t="inlineStr">
        <is>
          <t>FLOW</t>
        </is>
      </c>
      <c r="E114" s="22" t="inlineStr">
        <is>
          <t>Medium</t>
        </is>
      </c>
      <c r="F114" s="33" t="inlineStr">
        <is>
          <t>0.75</t>
        </is>
      </c>
      <c r="G114" s="24" t="inlineStr">
        <is>
          <t>Not Started</t>
        </is>
      </c>
      <c r="H114" s="25" t="inlineStr">
        <is>
          <t>Not Started</t>
        </is>
      </c>
      <c r="I114" s="33" t="inlineStr">
        <is>
          <t>1</t>
        </is>
      </c>
      <c r="J114" s="24" t="inlineStr">
        <is>
          <t>Not Started</t>
        </is>
      </c>
      <c r="K114" s="25" t="n"/>
      <c r="L114" s="33" t="inlineStr">
        <is>
          <t>1</t>
        </is>
      </c>
      <c r="M114" s="24" t="inlineStr">
        <is>
          <t>Not Started</t>
        </is>
      </c>
      <c r="N114" s="25" t="inlineStr">
        <is>
          <t>1</t>
        </is>
      </c>
    </row>
    <row r="115">
      <c r="A115" s="32" t="n">
        <v>134</v>
      </c>
      <c r="B115" s="25" t="inlineStr">
        <is>
          <t>Field Collection</t>
        </is>
      </c>
      <c r="C115" s="25" t="inlineStr">
        <is>
          <t>Ambassador Performance</t>
        </is>
      </c>
      <c r="D115" s="25" t="inlineStr">
        <is>
          <t>Dashboard</t>
        </is>
      </c>
      <c r="E115" s="22" t="inlineStr">
        <is>
          <t>Medium</t>
        </is>
      </c>
      <c r="F115" s="33" t="inlineStr">
        <is>
          <t>0.75</t>
        </is>
      </c>
      <c r="G115" s="24" t="inlineStr">
        <is>
          <t>Not Started</t>
        </is>
      </c>
      <c r="H115" s="25" t="inlineStr">
        <is>
          <t>Not Started</t>
        </is>
      </c>
      <c r="I115" s="33" t="inlineStr">
        <is>
          <t>1</t>
        </is>
      </c>
      <c r="J115" s="24" t="inlineStr">
        <is>
          <t>Not Started</t>
        </is>
      </c>
      <c r="K115" s="25" t="n"/>
      <c r="L115" s="33" t="inlineStr">
        <is>
          <t>1</t>
        </is>
      </c>
      <c r="M115" s="24" t="inlineStr">
        <is>
          <t>Not Started</t>
        </is>
      </c>
      <c r="N115" s="25" t="inlineStr">
        <is>
          <t>1</t>
        </is>
      </c>
    </row>
    <row r="116">
      <c r="A116" s="32" t="n">
        <v>135</v>
      </c>
      <c r="B116" s="25" t="inlineStr">
        <is>
          <t>Fundraising</t>
        </is>
      </c>
      <c r="C116" s="25" t="inlineStr">
        <is>
          <t>P2P Fundraisers</t>
        </is>
      </c>
      <c r="D116" s="25" t="inlineStr">
        <is>
          <t>FLOW</t>
        </is>
      </c>
      <c r="E116" s="22" t="inlineStr">
        <is>
          <t>Medium</t>
        </is>
      </c>
      <c r="F116" s="33" t="inlineStr">
        <is>
          <t>1</t>
        </is>
      </c>
      <c r="G116" s="28" t="inlineStr">
        <is>
          <t>In Progress (Partial)</t>
        </is>
      </c>
      <c r="H116" s="25" t="inlineStr">
        <is>
          <t>Karthick</t>
        </is>
      </c>
      <c r="I116" s="33" t="inlineStr">
        <is>
          <t>1.5</t>
        </is>
      </c>
      <c r="J116" s="24" t="inlineStr">
        <is>
          <t>Not Started</t>
        </is>
      </c>
      <c r="K116" s="25" t="n"/>
      <c r="L116" s="33" t="inlineStr">
        <is>
          <t>1.5</t>
        </is>
      </c>
      <c r="M116" s="24" t="inlineStr">
        <is>
          <t>Not Started</t>
        </is>
      </c>
      <c r="N116" s="25" t="inlineStr">
        <is>
          <t>1.5</t>
        </is>
      </c>
    </row>
    <row r="117">
      <c r="A117" s="32" t="n">
        <v>136</v>
      </c>
      <c r="B117" s="25" t="inlineStr">
        <is>
          <t>Prayer Request</t>
        </is>
      </c>
      <c r="C117" s="25" t="inlineStr">
        <is>
          <t>Prayer Request Entry</t>
        </is>
      </c>
      <c r="D117" s="25" t="inlineStr">
        <is>
          <t>FLOW</t>
        </is>
      </c>
      <c r="E117" s="22" t="inlineStr">
        <is>
          <t>Medium</t>
        </is>
      </c>
      <c r="F117" s="33" t="inlineStr">
        <is>
          <t>0.75</t>
        </is>
      </c>
      <c r="G117" s="23" t="inlineStr">
        <is>
          <t>Completed</t>
        </is>
      </c>
      <c r="H117" s="25" t="inlineStr">
        <is>
          <t>Karthick</t>
        </is>
      </c>
      <c r="I117" s="33" t="inlineStr">
        <is>
          <t>1</t>
        </is>
      </c>
      <c r="J117" s="24" t="inlineStr">
        <is>
          <t>Not Started</t>
        </is>
      </c>
      <c r="K117" s="25" t="n"/>
      <c r="L117" s="33" t="inlineStr">
        <is>
          <t>1</t>
        </is>
      </c>
      <c r="M117" s="24" t="inlineStr">
        <is>
          <t>Not Started</t>
        </is>
      </c>
      <c r="N117" s="25" t="inlineStr">
        <is>
          <t>1</t>
        </is>
      </c>
    </row>
    <row r="118">
      <c r="A118" s="32" t="n">
        <v>137</v>
      </c>
      <c r="B118" s="25" t="inlineStr">
        <is>
          <t>Prayer Request</t>
        </is>
      </c>
      <c r="C118" s="25" t="inlineStr">
        <is>
          <t>Reply Queue</t>
        </is>
      </c>
      <c r="D118" s="25" t="inlineStr">
        <is>
          <t>FLOW</t>
        </is>
      </c>
      <c r="E118" s="22" t="inlineStr">
        <is>
          <t>Medium</t>
        </is>
      </c>
      <c r="F118" s="33" t="inlineStr">
        <is>
          <t>0.75</t>
        </is>
      </c>
      <c r="G118" s="23" t="inlineStr">
        <is>
          <t>Completed</t>
        </is>
      </c>
      <c r="H118" s="25" t="inlineStr">
        <is>
          <t>Karthick</t>
        </is>
      </c>
      <c r="I118" s="33" t="inlineStr">
        <is>
          <t>1</t>
        </is>
      </c>
      <c r="J118" s="24" t="inlineStr">
        <is>
          <t>Not Started</t>
        </is>
      </c>
      <c r="K118" s="25" t="n"/>
      <c r="L118" s="33" t="inlineStr">
        <is>
          <t>1</t>
        </is>
      </c>
      <c r="M118" s="24" t="inlineStr">
        <is>
          <t>Not Started</t>
        </is>
      </c>
      <c r="N118" s="25" t="inlineStr">
        <is>
          <t>1</t>
        </is>
      </c>
    </row>
    <row r="119">
      <c r="A119" s="32" t="n">
        <v>138</v>
      </c>
      <c r="B119" s="25" t="inlineStr">
        <is>
          <t>Prayer Request</t>
        </is>
      </c>
      <c r="C119" s="25" t="inlineStr">
        <is>
          <t>Review Reply</t>
        </is>
      </c>
      <c r="D119" s="25" t="inlineStr">
        <is>
          <t>FLOW</t>
        </is>
      </c>
      <c r="E119" s="22" t="inlineStr">
        <is>
          <t>Medium</t>
        </is>
      </c>
      <c r="F119" s="33" t="inlineStr">
        <is>
          <t>0.75</t>
        </is>
      </c>
      <c r="G119" s="23" t="inlineStr">
        <is>
          <t>Completed</t>
        </is>
      </c>
      <c r="H119" s="25" t="inlineStr">
        <is>
          <t>Karthick</t>
        </is>
      </c>
      <c r="I119" s="33" t="inlineStr">
        <is>
          <t>1</t>
        </is>
      </c>
      <c r="J119" s="24" t="inlineStr">
        <is>
          <t>Not Started</t>
        </is>
      </c>
      <c r="K119" s="25" t="n"/>
      <c r="L119" s="33" t="inlineStr">
        <is>
          <t>1</t>
        </is>
      </c>
      <c r="M119" s="24" t="inlineStr">
        <is>
          <t>Not Started</t>
        </is>
      </c>
      <c r="N119" s="25" t="inlineStr">
        <is>
          <t>1</t>
        </is>
      </c>
    </row>
    <row r="120">
      <c r="A120" s="32" t="n">
        <v>139</v>
      </c>
      <c r="B120" s="25" t="inlineStr">
        <is>
          <t>General</t>
        </is>
      </c>
      <c r="C120" s="25" t="inlineStr">
        <is>
          <t>Bank</t>
        </is>
      </c>
      <c r="D120" s="25" t="inlineStr">
        <is>
          <t>MASTER_GRID</t>
        </is>
      </c>
      <c r="E120" s="27" t="inlineStr">
        <is>
          <t>High</t>
        </is>
      </c>
      <c r="F120" s="33" t="inlineStr">
        <is>
          <t>0.5</t>
        </is>
      </c>
      <c r="G120" s="23" t="inlineStr">
        <is>
          <t>Completed</t>
        </is>
      </c>
      <c r="H120" s="25" t="inlineStr">
        <is>
          <t>Karthick</t>
        </is>
      </c>
      <c r="I120" s="33" t="inlineStr">
        <is>
          <t>0.75</t>
        </is>
      </c>
      <c r="J120" s="24" t="inlineStr">
        <is>
          <t>Not Started</t>
        </is>
      </c>
      <c r="K120" s="25" t="n"/>
      <c r="L120" s="33" t="inlineStr">
        <is>
          <t>0.75</t>
        </is>
      </c>
      <c r="M120" s="24" t="inlineStr">
        <is>
          <t>Not Started</t>
        </is>
      </c>
      <c r="N120" s="25" t="inlineStr">
        <is>
          <t>0.75</t>
        </is>
      </c>
    </row>
    <row r="121">
      <c r="A121" s="32" t="n">
        <v>140</v>
      </c>
      <c r="B121" s="25" t="inlineStr">
        <is>
          <t>General</t>
        </is>
      </c>
      <c r="C121" s="25" t="inlineStr">
        <is>
          <t>Blood Group</t>
        </is>
      </c>
      <c r="D121" s="25" t="inlineStr">
        <is>
          <t>MASTER_GRID</t>
        </is>
      </c>
      <c r="E121" s="27" t="inlineStr">
        <is>
          <t>High</t>
        </is>
      </c>
      <c r="F121" s="33" t="inlineStr">
        <is>
          <t>0.5</t>
        </is>
      </c>
      <c r="G121" s="23" t="inlineStr">
        <is>
          <t>Completed</t>
        </is>
      </c>
      <c r="H121" s="25" t="inlineStr">
        <is>
          <t>Karthick</t>
        </is>
      </c>
      <c r="I121" s="33" t="inlineStr">
        <is>
          <t>0.75</t>
        </is>
      </c>
      <c r="J121" s="24" t="inlineStr">
        <is>
          <t>Not Started</t>
        </is>
      </c>
      <c r="K121" s="25" t="n"/>
      <c r="L121" s="33" t="inlineStr">
        <is>
          <t>0.75</t>
        </is>
      </c>
      <c r="M121" s="24" t="inlineStr">
        <is>
          <t>Not Started</t>
        </is>
      </c>
      <c r="N121" s="25" t="inlineStr">
        <is>
          <t>0.75</t>
        </is>
      </c>
    </row>
    <row r="122">
      <c r="A122" s="32" t="n">
        <v>141</v>
      </c>
      <c r="B122" s="25" t="inlineStr">
        <is>
          <t>General</t>
        </is>
      </c>
      <c r="C122" s="25" t="inlineStr">
        <is>
          <t>Currency Conversion</t>
        </is>
      </c>
      <c r="D122" s="25" t="inlineStr">
        <is>
          <t>MASTER_GRID</t>
        </is>
      </c>
      <c r="E122" s="27" t="inlineStr">
        <is>
          <t>High</t>
        </is>
      </c>
      <c r="F122" s="33" t="inlineStr">
        <is>
          <t>0.5</t>
        </is>
      </c>
      <c r="G122" s="23" t="inlineStr">
        <is>
          <t>Completed</t>
        </is>
      </c>
      <c r="H122" s="25" t="inlineStr">
        <is>
          <t>Karthick</t>
        </is>
      </c>
      <c r="I122" s="33" t="inlineStr">
        <is>
          <t>0.75</t>
        </is>
      </c>
      <c r="J122" s="24" t="inlineStr">
        <is>
          <t>Not Started</t>
        </is>
      </c>
      <c r="K122" s="25" t="n"/>
      <c r="L122" s="33" t="inlineStr">
        <is>
          <t>0.75</t>
        </is>
      </c>
      <c r="M122" s="24" t="inlineStr">
        <is>
          <t>Not Started</t>
        </is>
      </c>
      <c r="N122" s="25" t="inlineStr">
        <is>
          <t>0.75</t>
        </is>
      </c>
    </row>
    <row r="123">
      <c r="A123" s="32" t="n">
        <v>142</v>
      </c>
      <c r="B123" s="25" t="inlineStr">
        <is>
          <t>General</t>
        </is>
      </c>
      <c r="C123" s="25" t="inlineStr">
        <is>
          <t>Gender</t>
        </is>
      </c>
      <c r="D123" s="25" t="inlineStr">
        <is>
          <t>MASTER_GRID</t>
        </is>
      </c>
      <c r="E123" s="27" t="inlineStr">
        <is>
          <t>High</t>
        </is>
      </c>
      <c r="F123" s="33" t="inlineStr">
        <is>
          <t>0.5</t>
        </is>
      </c>
      <c r="G123" s="23" t="inlineStr">
        <is>
          <t>Completed</t>
        </is>
      </c>
      <c r="H123" s="25" t="inlineStr">
        <is>
          <t>Karthick</t>
        </is>
      </c>
      <c r="I123" s="33" t="inlineStr">
        <is>
          <t>0.75</t>
        </is>
      </c>
      <c r="J123" s="24" t="inlineStr">
        <is>
          <t>Not Started</t>
        </is>
      </c>
      <c r="K123" s="25" t="n"/>
      <c r="L123" s="33" t="inlineStr">
        <is>
          <t>0.75</t>
        </is>
      </c>
      <c r="M123" s="24" t="inlineStr">
        <is>
          <t>Not Started</t>
        </is>
      </c>
      <c r="N123" s="25" t="inlineStr">
        <is>
          <t>0.75</t>
        </is>
      </c>
    </row>
    <row r="124">
      <c r="A124" s="32" t="n">
        <v>143</v>
      </c>
      <c r="B124" s="25" t="inlineStr">
        <is>
          <t>General</t>
        </is>
      </c>
      <c r="C124" s="25" t="inlineStr">
        <is>
          <t>Language</t>
        </is>
      </c>
      <c r="D124" s="25" t="inlineStr">
        <is>
          <t>MASTER_GRID</t>
        </is>
      </c>
      <c r="E124" s="27" t="inlineStr">
        <is>
          <t>High</t>
        </is>
      </c>
      <c r="F124" s="33" t="inlineStr">
        <is>
          <t>0.5</t>
        </is>
      </c>
      <c r="G124" s="23" t="inlineStr">
        <is>
          <t>Completed</t>
        </is>
      </c>
      <c r="H124" s="25" t="inlineStr">
        <is>
          <t>Karthick</t>
        </is>
      </c>
      <c r="I124" s="33" t="inlineStr">
        <is>
          <t>0.75</t>
        </is>
      </c>
      <c r="J124" s="24" t="inlineStr">
        <is>
          <t>Not Started</t>
        </is>
      </c>
      <c r="K124" s="25" t="n"/>
      <c r="L124" s="33" t="inlineStr">
        <is>
          <t>0.75</t>
        </is>
      </c>
      <c r="M124" s="24" t="inlineStr">
        <is>
          <t>Not Started</t>
        </is>
      </c>
      <c r="N124" s="25" t="inlineStr">
        <is>
          <t>0.75</t>
        </is>
      </c>
    </row>
    <row r="125">
      <c r="A125" s="32" t="n">
        <v>144</v>
      </c>
      <c r="B125" s="25" t="inlineStr">
        <is>
          <t>General</t>
        </is>
      </c>
      <c r="C125" s="25" t="inlineStr">
        <is>
          <t>Occupation</t>
        </is>
      </c>
      <c r="D125" s="25" t="inlineStr">
        <is>
          <t>MASTER_GRID</t>
        </is>
      </c>
      <c r="E125" s="27" t="inlineStr">
        <is>
          <t>High</t>
        </is>
      </c>
      <c r="F125" s="33" t="inlineStr">
        <is>
          <t>0.5</t>
        </is>
      </c>
      <c r="G125" s="23" t="inlineStr">
        <is>
          <t>Completed</t>
        </is>
      </c>
      <c r="H125" s="25" t="inlineStr">
        <is>
          <t>Karthick</t>
        </is>
      </c>
      <c r="I125" s="33" t="inlineStr">
        <is>
          <t>0.75</t>
        </is>
      </c>
      <c r="J125" s="24" t="inlineStr">
        <is>
          <t>Not Started</t>
        </is>
      </c>
      <c r="K125" s="25" t="n"/>
      <c r="L125" s="33" t="inlineStr">
        <is>
          <t>0.75</t>
        </is>
      </c>
      <c r="M125" s="24" t="inlineStr">
        <is>
          <t>Not Started</t>
        </is>
      </c>
      <c r="N125" s="25" t="inlineStr">
        <is>
          <t>0.75</t>
        </is>
      </c>
    </row>
    <row r="126">
      <c r="A126" s="32" t="n">
        <v>145</v>
      </c>
      <c r="B126" s="25" t="inlineStr">
        <is>
          <t>General</t>
        </is>
      </c>
      <c r="C126" s="25" t="inlineStr">
        <is>
          <t>Payment Mode</t>
        </is>
      </c>
      <c r="D126" s="25" t="inlineStr">
        <is>
          <t>MASTER_GRID</t>
        </is>
      </c>
      <c r="E126" s="27" t="inlineStr">
        <is>
          <t>High</t>
        </is>
      </c>
      <c r="F126" s="33" t="inlineStr">
        <is>
          <t>0.5</t>
        </is>
      </c>
      <c r="G126" s="23" t="inlineStr">
        <is>
          <t>Completed</t>
        </is>
      </c>
      <c r="H126" s="25" t="inlineStr">
        <is>
          <t>Karthick</t>
        </is>
      </c>
      <c r="I126" s="33" t="inlineStr">
        <is>
          <t>0.75</t>
        </is>
      </c>
      <c r="J126" s="24" t="inlineStr">
        <is>
          <t>Not Started</t>
        </is>
      </c>
      <c r="K126" s="25" t="n"/>
      <c r="L126" s="33" t="inlineStr">
        <is>
          <t>0.75</t>
        </is>
      </c>
      <c r="M126" s="24" t="inlineStr">
        <is>
          <t>Not Started</t>
        </is>
      </c>
      <c r="N126" s="25" t="inlineStr">
        <is>
          <t>0.75</t>
        </is>
      </c>
    </row>
    <row r="127">
      <c r="A127" s="32" t="n">
        <v>146</v>
      </c>
      <c r="B127" s="25" t="inlineStr">
        <is>
          <t>General</t>
        </is>
      </c>
      <c r="C127" s="25" t="inlineStr">
        <is>
          <t>Relation</t>
        </is>
      </c>
      <c r="D127" s="25" t="inlineStr">
        <is>
          <t>MASTER_GRID</t>
        </is>
      </c>
      <c r="E127" s="27" t="inlineStr">
        <is>
          <t>High</t>
        </is>
      </c>
      <c r="F127" s="33" t="inlineStr">
        <is>
          <t>0.5</t>
        </is>
      </c>
      <c r="G127" s="23" t="inlineStr">
        <is>
          <t>Completed</t>
        </is>
      </c>
      <c r="H127" s="25" t="inlineStr">
        <is>
          <t>Karthick</t>
        </is>
      </c>
      <c r="I127" s="33" t="inlineStr">
        <is>
          <t>0.75</t>
        </is>
      </c>
      <c r="J127" s="24" t="inlineStr">
        <is>
          <t>Not Started</t>
        </is>
      </c>
      <c r="K127" s="25" t="n"/>
      <c r="L127" s="33" t="inlineStr">
        <is>
          <t>0.75</t>
        </is>
      </c>
      <c r="M127" s="24" t="inlineStr">
        <is>
          <t>Not Started</t>
        </is>
      </c>
      <c r="N127" s="25" t="inlineStr">
        <is>
          <t>0.75</t>
        </is>
      </c>
    </row>
    <row r="128">
      <c r="A128" s="32" t="n">
        <v>147</v>
      </c>
      <c r="B128" s="25" t="inlineStr">
        <is>
          <t>General</t>
        </is>
      </c>
      <c r="C128" s="25" t="inlineStr">
        <is>
          <t>Salutation</t>
        </is>
      </c>
      <c r="D128" s="25" t="inlineStr">
        <is>
          <t>MASTER_GRID</t>
        </is>
      </c>
      <c r="E128" s="27" t="inlineStr">
        <is>
          <t>High</t>
        </is>
      </c>
      <c r="F128" s="33" t="inlineStr">
        <is>
          <t>0.5</t>
        </is>
      </c>
      <c r="G128" s="23" t="inlineStr">
        <is>
          <t>Completed</t>
        </is>
      </c>
      <c r="H128" s="25" t="inlineStr">
        <is>
          <t>Karthick</t>
        </is>
      </c>
      <c r="I128" s="33" t="inlineStr">
        <is>
          <t>0.75</t>
        </is>
      </c>
      <c r="J128" s="24" t="inlineStr">
        <is>
          <t>Not Started</t>
        </is>
      </c>
      <c r="K128" s="25" t="n"/>
      <c r="L128" s="33" t="inlineStr">
        <is>
          <t>0.75</t>
        </is>
      </c>
      <c r="M128" s="24" t="inlineStr">
        <is>
          <t>Not Started</t>
        </is>
      </c>
      <c r="N128" s="25" t="inlineStr">
        <is>
          <t>0.75</t>
        </is>
      </c>
    </row>
    <row r="129">
      <c r="A129" s="32" t="n">
        <v>148</v>
      </c>
      <c r="B129" s="25" t="inlineStr">
        <is>
          <t>General</t>
        </is>
      </c>
      <c r="C129" s="25" t="inlineStr">
        <is>
          <t>City</t>
        </is>
      </c>
      <c r="D129" s="25" t="inlineStr">
        <is>
          <t>MASTER_GRID</t>
        </is>
      </c>
      <c r="E129" s="27" t="inlineStr">
        <is>
          <t>High</t>
        </is>
      </c>
      <c r="F129" s="33" t="inlineStr">
        <is>
          <t>0.5</t>
        </is>
      </c>
      <c r="G129" s="23" t="inlineStr">
        <is>
          <t>Completed</t>
        </is>
      </c>
      <c r="H129" s="25" t="inlineStr">
        <is>
          <t>Karthick</t>
        </is>
      </c>
      <c r="I129" s="33" t="inlineStr">
        <is>
          <t>0.75</t>
        </is>
      </c>
      <c r="J129" s="24" t="inlineStr">
        <is>
          <t>Not Started</t>
        </is>
      </c>
      <c r="K129" s="25" t="n"/>
      <c r="L129" s="33" t="inlineStr">
        <is>
          <t>0.75</t>
        </is>
      </c>
      <c r="M129" s="24" t="inlineStr">
        <is>
          <t>Not Started</t>
        </is>
      </c>
      <c r="N129" s="25" t="inlineStr">
        <is>
          <t>0.75</t>
        </is>
      </c>
    </row>
    <row r="130">
      <c r="A130" s="32" t="n">
        <v>149</v>
      </c>
      <c r="B130" s="25" t="inlineStr">
        <is>
          <t>General</t>
        </is>
      </c>
      <c r="C130" s="25" t="inlineStr">
        <is>
          <t>Country</t>
        </is>
      </c>
      <c r="D130" s="25" t="inlineStr">
        <is>
          <t>MASTER_GRID</t>
        </is>
      </c>
      <c r="E130" s="27" t="inlineStr">
        <is>
          <t>High</t>
        </is>
      </c>
      <c r="F130" s="33" t="inlineStr">
        <is>
          <t>0.5</t>
        </is>
      </c>
      <c r="G130" s="23" t="inlineStr">
        <is>
          <t>Completed</t>
        </is>
      </c>
      <c r="H130" s="25" t="inlineStr">
        <is>
          <t>Karthick</t>
        </is>
      </c>
      <c r="I130" s="33" t="inlineStr">
        <is>
          <t>0.75</t>
        </is>
      </c>
      <c r="J130" s="24" t="inlineStr">
        <is>
          <t>Not Started</t>
        </is>
      </c>
      <c r="K130" s="25" t="n"/>
      <c r="L130" s="33" t="inlineStr">
        <is>
          <t>0.75</t>
        </is>
      </c>
      <c r="M130" s="24" t="inlineStr">
        <is>
          <t>Not Started</t>
        </is>
      </c>
      <c r="N130" s="25" t="inlineStr">
        <is>
          <t>0.75</t>
        </is>
      </c>
    </row>
    <row r="131">
      <c r="A131" s="32" t="n">
        <v>150</v>
      </c>
      <c r="B131" s="25" t="inlineStr">
        <is>
          <t>General</t>
        </is>
      </c>
      <c r="C131" s="25" t="inlineStr">
        <is>
          <t>District</t>
        </is>
      </c>
      <c r="D131" s="25" t="inlineStr">
        <is>
          <t>MASTER_GRID</t>
        </is>
      </c>
      <c r="E131" s="27" t="inlineStr">
        <is>
          <t>High</t>
        </is>
      </c>
      <c r="F131" s="33" t="inlineStr">
        <is>
          <t>0.5</t>
        </is>
      </c>
      <c r="G131" s="23" t="inlineStr">
        <is>
          <t>Completed</t>
        </is>
      </c>
      <c r="H131" s="25" t="inlineStr">
        <is>
          <t>Karthick</t>
        </is>
      </c>
      <c r="I131" s="33" t="inlineStr">
        <is>
          <t>0.75</t>
        </is>
      </c>
      <c r="J131" s="24" t="inlineStr">
        <is>
          <t>Not Started</t>
        </is>
      </c>
      <c r="K131" s="25" t="n"/>
      <c r="L131" s="33" t="inlineStr">
        <is>
          <t>0.75</t>
        </is>
      </c>
      <c r="M131" s="24" t="inlineStr">
        <is>
          <t>Not Started</t>
        </is>
      </c>
      <c r="N131" s="25" t="inlineStr">
        <is>
          <t>0.75</t>
        </is>
      </c>
    </row>
    <row r="132">
      <c r="A132" s="32" t="n">
        <v>151</v>
      </c>
      <c r="B132" s="25" t="inlineStr">
        <is>
          <t>General</t>
        </is>
      </c>
      <c r="C132" s="25" t="inlineStr">
        <is>
          <t>Locality</t>
        </is>
      </c>
      <c r="D132" s="25" t="inlineStr">
        <is>
          <t>MASTER_GRID</t>
        </is>
      </c>
      <c r="E132" s="27" t="inlineStr">
        <is>
          <t>High</t>
        </is>
      </c>
      <c r="F132" s="33" t="inlineStr">
        <is>
          <t>0.5</t>
        </is>
      </c>
      <c r="G132" s="23" t="inlineStr">
        <is>
          <t>Completed</t>
        </is>
      </c>
      <c r="H132" s="25" t="inlineStr">
        <is>
          <t>Karthick</t>
        </is>
      </c>
      <c r="I132" s="33" t="inlineStr">
        <is>
          <t>0.75</t>
        </is>
      </c>
      <c r="J132" s="24" t="inlineStr">
        <is>
          <t>Not Started</t>
        </is>
      </c>
      <c r="K132" s="25" t="n"/>
      <c r="L132" s="33" t="inlineStr">
        <is>
          <t>0.75</t>
        </is>
      </c>
      <c r="M132" s="24" t="inlineStr">
        <is>
          <t>Not Started</t>
        </is>
      </c>
      <c r="N132" s="25" t="inlineStr">
        <is>
          <t>0.75</t>
        </is>
      </c>
    </row>
    <row r="133">
      <c r="A133" s="32" t="n">
        <v>152</v>
      </c>
      <c r="B133" s="25" t="inlineStr">
        <is>
          <t>General</t>
        </is>
      </c>
      <c r="C133" s="25" t="inlineStr">
        <is>
          <t>Pincode</t>
        </is>
      </c>
      <c r="D133" s="25" t="inlineStr">
        <is>
          <t>MASTER_GRID</t>
        </is>
      </c>
      <c r="E133" s="27" t="inlineStr">
        <is>
          <t>High</t>
        </is>
      </c>
      <c r="F133" s="33" t="inlineStr">
        <is>
          <t>0.5</t>
        </is>
      </c>
      <c r="G133" s="23" t="inlineStr">
        <is>
          <t>Completed</t>
        </is>
      </c>
      <c r="H133" s="25" t="inlineStr">
        <is>
          <t>Karthick</t>
        </is>
      </c>
      <c r="I133" s="33" t="inlineStr">
        <is>
          <t>0.75</t>
        </is>
      </c>
      <c r="J133" s="24" t="inlineStr">
        <is>
          <t>Not Started</t>
        </is>
      </c>
      <c r="K133" s="25" t="n"/>
      <c r="L133" s="33" t="inlineStr">
        <is>
          <t>0.75</t>
        </is>
      </c>
      <c r="M133" s="24" t="inlineStr">
        <is>
          <t>Not Started</t>
        </is>
      </c>
      <c r="N133" s="25" t="inlineStr">
        <is>
          <t>0.75</t>
        </is>
      </c>
    </row>
    <row r="134">
      <c r="A134" s="32" t="n">
        <v>153</v>
      </c>
      <c r="B134" s="25" t="inlineStr">
        <is>
          <t>General</t>
        </is>
      </c>
      <c r="C134" s="25" t="inlineStr">
        <is>
          <t>State</t>
        </is>
      </c>
      <c r="D134" s="25" t="inlineStr">
        <is>
          <t>MASTER_GRID</t>
        </is>
      </c>
      <c r="E134" s="27" t="inlineStr">
        <is>
          <t>High</t>
        </is>
      </c>
      <c r="F134" s="33" t="inlineStr">
        <is>
          <t>0.5</t>
        </is>
      </c>
      <c r="G134" s="23" t="inlineStr">
        <is>
          <t>Completed</t>
        </is>
      </c>
      <c r="H134" s="25" t="inlineStr">
        <is>
          <t>Karthick</t>
        </is>
      </c>
      <c r="I134" s="33" t="inlineStr">
        <is>
          <t>0.75</t>
        </is>
      </c>
      <c r="J134" s="24" t="inlineStr">
        <is>
          <t>Not Started</t>
        </is>
      </c>
      <c r="K134" s="25" t="n"/>
      <c r="L134" s="33" t="inlineStr">
        <is>
          <t>0.75</t>
        </is>
      </c>
      <c r="M134" s="24" t="inlineStr">
        <is>
          <t>Not Started</t>
        </is>
      </c>
      <c r="N134" s="25" t="inlineStr">
        <is>
          <t>0.75</t>
        </is>
      </c>
    </row>
    <row r="135">
      <c r="A135" s="32" t="n">
        <v>154</v>
      </c>
      <c r="B135" s="25" t="inlineStr">
        <is>
          <t>Reports</t>
        </is>
      </c>
      <c r="C135" s="25" t="inlineStr">
        <is>
          <t>Generate Report</t>
        </is>
      </c>
      <c r="D135" s="25" t="inlineStr">
        <is>
          <t>FLOW</t>
        </is>
      </c>
      <c r="E135" s="22" t="inlineStr">
        <is>
          <t>Medium</t>
        </is>
      </c>
      <c r="F135" s="33" t="inlineStr">
        <is>
          <t>0.75</t>
        </is>
      </c>
      <c r="G135" s="24" t="inlineStr">
        <is>
          <t>Not Started</t>
        </is>
      </c>
      <c r="H135" s="25" t="inlineStr">
        <is>
          <t>Not Started</t>
        </is>
      </c>
      <c r="I135" s="33" t="inlineStr">
        <is>
          <t>1</t>
        </is>
      </c>
      <c r="J135" s="24" t="inlineStr">
        <is>
          <t>Not Started</t>
        </is>
      </c>
      <c r="K135" s="25" t="n"/>
      <c r="L135" s="33" t="inlineStr">
        <is>
          <t>1</t>
        </is>
      </c>
      <c r="M135" s="24" t="inlineStr">
        <is>
          <t>Not Started</t>
        </is>
      </c>
      <c r="N135" s="25" t="inlineStr">
        <is>
          <t>1</t>
        </is>
      </c>
    </row>
    <row r="136">
      <c r="A136" s="32" t="n">
        <v>155</v>
      </c>
      <c r="B136" s="25" t="inlineStr">
        <is>
          <t>Reports</t>
        </is>
      </c>
      <c r="C136" s="25" t="inlineStr">
        <is>
          <t>PowerBI Report Master</t>
        </is>
      </c>
      <c r="D136" s="25" t="inlineStr">
        <is>
          <t>MASTER_GRID</t>
        </is>
      </c>
      <c r="E136" s="22" t="inlineStr">
        <is>
          <t>Medium</t>
        </is>
      </c>
      <c r="F136" s="33" t="inlineStr">
        <is>
          <t>0.5</t>
        </is>
      </c>
      <c r="G136" s="24" t="inlineStr">
        <is>
          <t>Not Started</t>
        </is>
      </c>
      <c r="H136" s="25" t="inlineStr">
        <is>
          <t>Not Started</t>
        </is>
      </c>
      <c r="I136" s="33" t="inlineStr">
        <is>
          <t>0.75</t>
        </is>
      </c>
      <c r="J136" s="24" t="inlineStr">
        <is>
          <t>Not Started</t>
        </is>
      </c>
      <c r="K136" s="25" t="n"/>
      <c r="L136" s="33" t="inlineStr">
        <is>
          <t>0.75</t>
        </is>
      </c>
      <c r="M136" s="24" t="inlineStr">
        <is>
          <t>Not Started</t>
        </is>
      </c>
      <c r="N136" s="25" t="inlineStr">
        <is>
          <t>0.75</t>
        </is>
      </c>
    </row>
    <row r="137">
      <c r="A137" s="32" t="n">
        <v>156</v>
      </c>
      <c r="B137" s="25" t="inlineStr">
        <is>
          <t>Reports</t>
        </is>
      </c>
      <c r="C137" s="25" t="inlineStr">
        <is>
          <t>PowerBI User Mapping</t>
        </is>
      </c>
      <c r="D137" s="25" t="inlineStr">
        <is>
          <t>FLOW</t>
        </is>
      </c>
      <c r="E137" s="22" t="inlineStr">
        <is>
          <t>Medium</t>
        </is>
      </c>
      <c r="F137" s="33" t="inlineStr">
        <is>
          <t>0.75</t>
        </is>
      </c>
      <c r="G137" s="24" t="inlineStr">
        <is>
          <t>Not Started</t>
        </is>
      </c>
      <c r="H137" s="25" t="inlineStr">
        <is>
          <t>Not Started</t>
        </is>
      </c>
      <c r="I137" s="33" t="inlineStr">
        <is>
          <t>1</t>
        </is>
      </c>
      <c r="J137" s="24" t="inlineStr">
        <is>
          <t>Not Started</t>
        </is>
      </c>
      <c r="K137" s="25" t="n"/>
      <c r="L137" s="33" t="inlineStr">
        <is>
          <t>1</t>
        </is>
      </c>
      <c r="M137" s="24" t="inlineStr">
        <is>
          <t>Not Started</t>
        </is>
      </c>
      <c r="N137" s="25" t="inlineStr">
        <is>
          <t>1</t>
        </is>
      </c>
    </row>
    <row r="138">
      <c r="A138" s="32" t="n">
        <v>157</v>
      </c>
      <c r="B138" s="25" t="inlineStr">
        <is>
          <t>Settings</t>
        </is>
      </c>
      <c r="C138" s="25" t="inlineStr">
        <is>
          <t>SMS Setup</t>
        </is>
      </c>
      <c r="D138" s="25" t="inlineStr">
        <is>
          <t>Config</t>
        </is>
      </c>
      <c r="E138" s="22" t="inlineStr">
        <is>
          <t>Medium</t>
        </is>
      </c>
      <c r="F138" s="33" t="inlineStr">
        <is>
          <t>0.75</t>
        </is>
      </c>
      <c r="G138" s="23" t="inlineStr">
        <is>
          <t>Completed</t>
        </is>
      </c>
      <c r="H138" s="25" t="inlineStr">
        <is>
          <t>Karthick</t>
        </is>
      </c>
      <c r="I138" s="33" t="inlineStr">
        <is>
          <t>1</t>
        </is>
      </c>
      <c r="J138" s="24" t="inlineStr">
        <is>
          <t>Not Started</t>
        </is>
      </c>
      <c r="K138" s="25" t="n"/>
      <c r="L138" s="33" t="inlineStr">
        <is>
          <t>1</t>
        </is>
      </c>
      <c r="M138" s="24" t="inlineStr">
        <is>
          <t>Not Started</t>
        </is>
      </c>
      <c r="N138" s="25" t="inlineStr">
        <is>
          <t>1</t>
        </is>
      </c>
    </row>
    <row r="139">
      <c r="A139" s="32" t="n">
        <v>158</v>
      </c>
      <c r="B139" s="25" t="inlineStr">
        <is>
          <t>Settings</t>
        </is>
      </c>
      <c r="C139" s="25" t="inlineStr">
        <is>
          <t>Dashboard Layout</t>
        </is>
      </c>
      <c r="D139" s="25" t="inlineStr">
        <is>
          <t>Config</t>
        </is>
      </c>
      <c r="E139" s="22" t="inlineStr">
        <is>
          <t>Medium</t>
        </is>
      </c>
      <c r="F139" s="33" t="inlineStr">
        <is>
          <t>1</t>
        </is>
      </c>
      <c r="G139" s="24" t="inlineStr">
        <is>
          <t>Not Started</t>
        </is>
      </c>
      <c r="H139" s="25" t="inlineStr">
        <is>
          <t>Not Started</t>
        </is>
      </c>
      <c r="I139" s="33" t="inlineStr">
        <is>
          <t>1.5</t>
        </is>
      </c>
      <c r="J139" s="24" t="inlineStr">
        <is>
          <t>Not Started</t>
        </is>
      </c>
      <c r="K139" s="25" t="n"/>
      <c r="L139" s="33" t="inlineStr">
        <is>
          <t>1.5</t>
        </is>
      </c>
      <c r="M139" s="24" t="inlineStr">
        <is>
          <t>Not Started</t>
        </is>
      </c>
      <c r="N139" s="25" t="inlineStr">
        <is>
          <t>1.5</t>
        </is>
      </c>
    </row>
    <row r="140">
      <c r="A140" s="32" t="inlineStr">
        <is>
          <t>159-161</t>
        </is>
      </c>
      <c r="B140" s="25" t="inlineStr">
        <is>
          <t>Settings</t>
        </is>
      </c>
      <c r="C140" s="25" t="inlineStr">
        <is>
          <t>Widget (combined: Widget + Widget Type + Widget Property + Widget Role)</t>
        </is>
      </c>
      <c r="D140" s="25" t="inlineStr">
        <is>
          <t>MASTER_GRID</t>
        </is>
      </c>
      <c r="E140" s="22" t="inlineStr">
        <is>
          <t>Medium</t>
        </is>
      </c>
      <c r="F140" s="33" t="inlineStr">
        <is>
          <t>0.75</t>
        </is>
      </c>
      <c r="G140" s="24" t="inlineStr">
        <is>
          <t>Not Started</t>
        </is>
      </c>
      <c r="H140" s="25" t="inlineStr">
        <is>
          <t>Not Started</t>
        </is>
      </c>
      <c r="I140" s="33" t="inlineStr">
        <is>
          <t>1</t>
        </is>
      </c>
      <c r="J140" s="24" t="inlineStr">
        <is>
          <t>Not Started</t>
        </is>
      </c>
      <c r="K140" s="25" t="n"/>
      <c r="L140" s="33" t="inlineStr">
        <is>
          <t>1</t>
        </is>
      </c>
      <c r="M140" s="24" t="inlineStr">
        <is>
          <t>Not Started</t>
        </is>
      </c>
      <c r="N140" s="25" t="inlineStr">
        <is>
          <t>1</t>
        </is>
      </c>
    </row>
    <row r="141">
      <c r="A141" s="32" t="n">
        <v>163</v>
      </c>
      <c r="B141" s="25" t="inlineStr">
        <is>
          <t>Settings</t>
        </is>
      </c>
      <c r="C141" s="25" t="inlineStr">
        <is>
          <t>Donation Verse</t>
        </is>
      </c>
      <c r="D141" s="25" t="inlineStr">
        <is>
          <t>MASTER_GRID</t>
        </is>
      </c>
      <c r="E141" s="22" t="inlineStr">
        <is>
          <t>Medium</t>
        </is>
      </c>
      <c r="F141" s="33" t="inlineStr">
        <is>
          <t>0.5</t>
        </is>
      </c>
      <c r="G141" s="24" t="inlineStr">
        <is>
          <t>Not Started</t>
        </is>
      </c>
      <c r="H141" s="25" t="inlineStr">
        <is>
          <t>Not Started</t>
        </is>
      </c>
      <c r="I141" s="33" t="inlineStr">
        <is>
          <t>0.75</t>
        </is>
      </c>
      <c r="J141" s="24" t="inlineStr">
        <is>
          <t>Not Started</t>
        </is>
      </c>
      <c r="K141" s="25" t="n"/>
      <c r="L141" s="33" t="inlineStr">
        <is>
          <t>0.75</t>
        </is>
      </c>
      <c r="M141" s="24" t="inlineStr">
        <is>
          <t>Not Started</t>
        </is>
      </c>
      <c r="N141" s="25" t="inlineStr">
        <is>
          <t>0.75</t>
        </is>
      </c>
    </row>
    <row r="142">
      <c r="A142" s="32" t="n">
        <v>167</v>
      </c>
      <c r="B142" s="25" t="inlineStr">
        <is>
          <t>Settings</t>
        </is>
      </c>
      <c r="C142" s="25" t="inlineStr">
        <is>
          <t>Payment Gateways (Per-Company)</t>
        </is>
      </c>
      <c r="D142" s="25" t="inlineStr">
        <is>
          <t>FLOW</t>
        </is>
      </c>
      <c r="E142" s="22" t="inlineStr">
        <is>
          <t>Medium</t>
        </is>
      </c>
      <c r="F142" s="33" t="inlineStr">
        <is>
          <t>0.75</t>
        </is>
      </c>
      <c r="G142" s="24" t="inlineStr">
        <is>
          <t>Not Started</t>
        </is>
      </c>
      <c r="H142" s="25" t="inlineStr">
        <is>
          <t>Not Started</t>
        </is>
      </c>
      <c r="I142" s="33" t="inlineStr">
        <is>
          <t>1</t>
        </is>
      </c>
      <c r="J142" s="24" t="inlineStr">
        <is>
          <t>Not Started</t>
        </is>
      </c>
      <c r="K142" s="25" t="n"/>
      <c r="L142" s="33" t="inlineStr">
        <is>
          <t>1</t>
        </is>
      </c>
      <c r="M142" s="24" t="inlineStr">
        <is>
          <t>Not Started</t>
        </is>
      </c>
      <c r="N142" s="25" t="inlineStr">
        <is>
          <t>1</t>
        </is>
      </c>
    </row>
    <row r="143">
      <c r="A143" s="32" t="n">
        <v>168</v>
      </c>
      <c r="B143" s="25" t="inlineStr">
        <is>
          <t>Settings</t>
        </is>
      </c>
      <c r="C143" s="25" t="inlineStr">
        <is>
          <t>Payment Gateway Master</t>
        </is>
      </c>
      <c r="D143" s="25" t="inlineStr">
        <is>
          <t>MASTER_GRID</t>
        </is>
      </c>
      <c r="E143" s="27" t="inlineStr">
        <is>
          <t>High</t>
        </is>
      </c>
      <c r="F143" s="33" t="inlineStr">
        <is>
          <t>0.5</t>
        </is>
      </c>
      <c r="G143" s="24" t="inlineStr">
        <is>
          <t>Not Started</t>
        </is>
      </c>
      <c r="H143" s="25" t="inlineStr">
        <is>
          <t>Not Started</t>
        </is>
      </c>
      <c r="I143" s="33" t="inlineStr">
        <is>
          <t>0.75</t>
        </is>
      </c>
      <c r="J143" s="24" t="inlineStr">
        <is>
          <t>Not Started</t>
        </is>
      </c>
      <c r="K143" s="25" t="n"/>
      <c r="L143" s="33" t="inlineStr">
        <is>
          <t>0.75</t>
        </is>
      </c>
      <c r="M143" s="24" t="inlineStr">
        <is>
          <t>Not Started</t>
        </is>
      </c>
      <c r="N143" s="25" t="inlineStr">
        <is>
          <t>0.75</t>
        </is>
      </c>
    </row>
    <row r="144">
      <c r="A144" s="32" t="n">
        <v>169</v>
      </c>
      <c r="B144" s="25" t="inlineStr">
        <is>
          <t>Settings</t>
        </is>
      </c>
      <c r="C144" s="25" t="inlineStr">
        <is>
          <t>Event Registration Page</t>
        </is>
      </c>
      <c r="D144" s="25" t="inlineStr">
        <is>
          <t>Config</t>
        </is>
      </c>
      <c r="E144" s="29" t="inlineStr">
        <is>
          <t>Low</t>
        </is>
      </c>
      <c r="F144" s="33" t="inlineStr">
        <is>
          <t>1</t>
        </is>
      </c>
      <c r="G144" s="24" t="inlineStr">
        <is>
          <t>Not Started</t>
        </is>
      </c>
      <c r="H144" s="25" t="inlineStr">
        <is>
          <t>Not Started</t>
        </is>
      </c>
      <c r="I144" s="33" t="inlineStr">
        <is>
          <t>1.5</t>
        </is>
      </c>
      <c r="J144" s="24" t="inlineStr">
        <is>
          <t>Not Started</t>
        </is>
      </c>
      <c r="K144" s="25" t="n"/>
      <c r="L144" s="33" t="inlineStr">
        <is>
          <t>1.5</t>
        </is>
      </c>
      <c r="M144" s="24" t="inlineStr">
        <is>
          <t>Not Started</t>
        </is>
      </c>
      <c r="N144" s="25" t="inlineStr">
        <is>
          <t>1.5</t>
        </is>
      </c>
    </row>
    <row r="145">
      <c r="A145" s="32" t="n">
        <v>170</v>
      </c>
      <c r="B145" s="25" t="inlineStr">
        <is>
          <t>Settings</t>
        </is>
      </c>
      <c r="C145" s="25" t="inlineStr">
        <is>
          <t>P2P Campaign Pages</t>
        </is>
      </c>
      <c r="D145" s="25" t="inlineStr">
        <is>
          <t>Config</t>
        </is>
      </c>
      <c r="E145" s="29" t="inlineStr">
        <is>
          <t>Low</t>
        </is>
      </c>
      <c r="F145" s="33" t="inlineStr">
        <is>
          <t>1</t>
        </is>
      </c>
      <c r="G145" s="23" t="inlineStr">
        <is>
          <t>Completed</t>
        </is>
      </c>
      <c r="H145" s="25" t="inlineStr">
        <is>
          <t>Karthick</t>
        </is>
      </c>
      <c r="I145" s="33" t="inlineStr">
        <is>
          <t>1.5</t>
        </is>
      </c>
      <c r="J145" s="24" t="inlineStr">
        <is>
          <t>Not Started</t>
        </is>
      </c>
      <c r="K145" s="25" t="n"/>
      <c r="L145" s="33" t="inlineStr">
        <is>
          <t>1.5</t>
        </is>
      </c>
      <c r="M145" s="24" t="inlineStr">
        <is>
          <t>Not Started</t>
        </is>
      </c>
      <c r="N145" s="25" t="inlineStr">
        <is>
          <t>1.5</t>
        </is>
      </c>
    </row>
    <row r="146">
      <c r="A146" s="32" t="n">
        <v>171</v>
      </c>
      <c r="B146" s="25" t="inlineStr">
        <is>
          <t>Settings</t>
        </is>
      </c>
      <c r="C146" s="25" t="inlineStr">
        <is>
          <t>Prayer Request Page</t>
        </is>
      </c>
      <c r="D146" s="25" t="inlineStr">
        <is>
          <t>Config</t>
        </is>
      </c>
      <c r="E146" s="29" t="inlineStr">
        <is>
          <t>Low</t>
        </is>
      </c>
      <c r="F146" s="33" t="inlineStr">
        <is>
          <t>1</t>
        </is>
      </c>
      <c r="G146" s="23" t="inlineStr">
        <is>
          <t>Completed</t>
        </is>
      </c>
      <c r="H146" s="25" t="inlineStr">
        <is>
          <t>Karthick</t>
        </is>
      </c>
      <c r="I146" s="33" t="inlineStr">
        <is>
          <t>1.5</t>
        </is>
      </c>
      <c r="J146" s="24" t="inlineStr">
        <is>
          <t>Not Started</t>
        </is>
      </c>
      <c r="K146" s="25" t="n"/>
      <c r="L146" s="33" t="inlineStr">
        <is>
          <t>1.5</t>
        </is>
      </c>
      <c r="M146" s="24" t="inlineStr">
        <is>
          <t>Not Started</t>
        </is>
      </c>
      <c r="N146" s="25" t="inlineStr">
        <is>
          <t>1.5</t>
        </is>
      </c>
    </row>
    <row r="147">
      <c r="A147" s="32" t="n">
        <v>172</v>
      </c>
      <c r="B147" s="25" t="inlineStr">
        <is>
          <t>Settings</t>
        </is>
      </c>
      <c r="C147" s="25" t="inlineStr">
        <is>
          <t>Volunteer Registration Page</t>
        </is>
      </c>
      <c r="D147" s="25" t="inlineStr">
        <is>
          <t>Config</t>
        </is>
      </c>
      <c r="E147" s="29" t="inlineStr">
        <is>
          <t>Low</t>
        </is>
      </c>
      <c r="F147" s="33" t="inlineStr">
        <is>
          <t>1</t>
        </is>
      </c>
      <c r="G147" s="23" t="inlineStr">
        <is>
          <t>Completed</t>
        </is>
      </c>
      <c r="H147" s="25" t="inlineStr">
        <is>
          <t>Karthick</t>
        </is>
      </c>
      <c r="I147" s="33" t="inlineStr">
        <is>
          <t>1.5</t>
        </is>
      </c>
      <c r="J147" s="24" t="inlineStr">
        <is>
          <t>Not Started</t>
        </is>
      </c>
      <c r="K147" s="25" t="n"/>
      <c r="L147" s="33" t="inlineStr">
        <is>
          <t>1.5</t>
        </is>
      </c>
      <c r="M147" s="24" t="inlineStr">
        <is>
          <t>Not Started</t>
        </is>
      </c>
      <c r="N147" s="25" t="inlineStr">
        <is>
          <t>1.5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4.4"/>
  <sheetData>
    <row r="1">
      <c r="A1" t="inlineStr">
        <is>
          <t>Development Status</t>
        </is>
      </c>
      <c r="B1" t="inlineStr">
        <is>
          <t>Testing Status</t>
        </is>
      </c>
      <c r="C1" t="inlineStr">
        <is>
          <t>Team Members</t>
        </is>
      </c>
      <c r="D1" t="inlineStr">
        <is>
          <t>Priority</t>
        </is>
      </c>
    </row>
    <row r="2">
      <c r="A2" t="inlineStr">
        <is>
          <t>Completed</t>
        </is>
      </c>
      <c r="B2" t="inlineStr">
        <is>
          <t>Not Started</t>
        </is>
      </c>
      <c r="C2" t="inlineStr">
        <is>
          <t>Karthick</t>
        </is>
      </c>
      <c r="D2" t="inlineStr">
        <is>
          <t>High</t>
        </is>
      </c>
    </row>
    <row r="3">
      <c r="A3" t="inlineStr">
        <is>
          <t>Completed - Needs Fix</t>
        </is>
      </c>
      <c r="B3" t="inlineStr">
        <is>
          <t>Pending</t>
        </is>
      </c>
      <c r="C3" t="inlineStr">
        <is>
          <t>Saranya</t>
        </is>
      </c>
      <c r="D3" t="inlineStr">
        <is>
          <t>Medium</t>
        </is>
      </c>
    </row>
    <row r="4">
      <c r="A4" t="inlineStr">
        <is>
          <t>Ready to Build</t>
        </is>
      </c>
      <c r="B4" t="inlineStr">
        <is>
          <t>In Testing</t>
        </is>
      </c>
      <c r="C4" t="inlineStr">
        <is>
          <t>Kavin</t>
        </is>
      </c>
      <c r="D4" t="inlineStr">
        <is>
          <t>Low</t>
        </is>
      </c>
    </row>
    <row r="5">
      <c r="A5" t="inlineStr">
        <is>
          <t>In Progress (Partial)</t>
        </is>
      </c>
      <c r="B5" t="inlineStr">
        <is>
          <t>Passed</t>
        </is>
      </c>
      <c r="C5" t="inlineStr">
        <is>
          <t>Sangeetha</t>
        </is>
      </c>
    </row>
    <row r="6">
      <c r="A6" t="inlineStr">
        <is>
          <t>Not Started</t>
        </is>
      </c>
      <c r="B6" t="inlineStr">
        <is>
          <t>Failed</t>
        </is>
      </c>
    </row>
    <row r="7">
      <c r="A7" t="inlineStr">
        <is>
          <t>Upcoming (Dashboard)</t>
        </is>
      </c>
      <c r="B7" t="inlineStr">
        <is>
          <t>Issues Found</t>
        </is>
      </c>
    </row>
    <row r="8">
      <c r="A8" t="inlineStr">
        <is>
          <t>Upcoming (Config)</t>
        </is>
      </c>
      <c r="B8" t="inlineStr">
        <is>
          <t>Blocked - Awaiting Fix</t>
        </is>
      </c>
    </row>
    <row r="9">
      <c r="A9" t="inlineStr">
        <is>
          <t>Upcoming (Mobile)</t>
        </is>
      </c>
      <c r="B9" t="inlineStr">
        <is>
          <t>N/A (Upcoming)</t>
        </is>
      </c>
    </row>
    <row r="10">
      <c r="A10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6"/>
  <sheetViews>
    <sheetView workbookViewId="0">
      <selection activeCell="A1" sqref="A1"/>
    </sheetView>
  </sheetViews>
  <sheetFormatPr baseColWidth="8" defaultRowHeight="14.4"/>
  <sheetData>
    <row r="1" ht="23.4" customHeight="1">
      <c r="A1" s="1" t="inlineStr">
        <is>
          <t>PSS 2.0 — Screen Status Summary</t>
        </is>
      </c>
    </row>
    <row r="2">
      <c r="A2" s="2" t="inlineStr">
        <is>
          <t>Generated 2026-04-28 · Total screens: 106 · Source: Screen Status sheet (live formulas)</t>
        </is>
      </c>
    </row>
    <row r="3"/>
    <row r="4">
      <c r="A4" s="3" t="inlineStr">
        <is>
          <t>Total</t>
        </is>
      </c>
      <c r="B4" s="3" t="inlineStr">
        <is>
          <t>Completed</t>
        </is>
      </c>
      <c r="C4" s="3" t="inlineStr">
        <is>
          <t>Needs Fix</t>
        </is>
      </c>
      <c r="D4" s="3" t="inlineStr">
        <is>
          <t>In Progress</t>
        </is>
      </c>
      <c r="E4" s="3" t="inlineStr">
        <is>
          <t>Ready to Build</t>
        </is>
      </c>
      <c r="F4" s="3" t="inlineStr">
        <is>
          <t>Not Started</t>
        </is>
      </c>
      <c r="G4" s="3" t="inlineStr">
        <is>
          <t>Upcoming</t>
        </is>
      </c>
      <c r="H4" s="3" t="inlineStr">
        <is>
          <t>Dev Tested (Passed)</t>
        </is>
      </c>
      <c r="I4" s="3" t="inlineStr">
        <is>
          <t>QA Tested (Passed)</t>
        </is>
      </c>
    </row>
    <row r="5" ht="31.2" customHeight="1">
      <c r="A5" s="4">
        <f>COUNTA('Screen Status'!A2:A152)</f>
        <v/>
      </c>
      <c r="B5" s="5">
        <f>COUNTIF('Screen Status'!G2:G152,"Completed")</f>
        <v/>
      </c>
      <c r="C5" s="6">
        <f>COUNTIF('Screen Status'!G2:G152,"Completed - Needs Fix")</f>
        <v/>
      </c>
      <c r="D5" s="7">
        <f>COUNTIF('Screen Status'!G2:G152,"In Progress (Partial)")</f>
        <v/>
      </c>
      <c r="E5" s="8">
        <f>COUNTIF('Screen Status'!G2:G152,"Ready to Build")</f>
        <v/>
      </c>
      <c r="F5" s="9">
        <f>COUNTIF('Screen Status'!G2:G152,"Not Started")</f>
        <v/>
      </c>
      <c r="G5" s="10">
        <f>COUNTIF('Screen Status'!G2:G152,"Upcoming*")</f>
        <v/>
      </c>
      <c r="H5" s="11">
        <f>COUNTIF('Screen Status'!J2:J152,"Passed")</f>
        <v/>
      </c>
      <c r="I5" s="12">
        <f>COUNTIF('Screen Status'!M2:M152,"Passed")</f>
        <v/>
      </c>
    </row>
    <row r="6"/>
    <row r="7" ht="15.6" customHeight="1">
      <c r="A7" s="13" t="inlineStr">
        <is>
          <t>① Development Status by Module</t>
        </is>
      </c>
    </row>
    <row r="8" ht="41.4" customHeight="1">
      <c r="A8" s="14" t="inlineStr">
        <is>
          <t>Module</t>
        </is>
      </c>
      <c r="B8" s="14" t="inlineStr">
        <is>
          <t>Completed</t>
        </is>
      </c>
      <c r="C8" s="14" t="inlineStr">
        <is>
          <t>Completed - Needs Fix</t>
        </is>
      </c>
      <c r="D8" s="14" t="inlineStr">
        <is>
          <t>Ready to Build</t>
        </is>
      </c>
      <c r="E8" s="14" t="inlineStr">
        <is>
          <t>In Progress (Partial)</t>
        </is>
      </c>
      <c r="F8" s="14" t="inlineStr">
        <is>
          <t>Not Started</t>
        </is>
      </c>
      <c r="G8" s="14" t="inlineStr">
        <is>
          <t>Upcoming (Dashboard)</t>
        </is>
      </c>
      <c r="H8" s="14" t="inlineStr">
        <is>
          <t>Upcoming (Config)</t>
        </is>
      </c>
      <c r="I8" s="14" t="inlineStr">
        <is>
          <t>Upcoming (Mobile)</t>
        </is>
      </c>
      <c r="J8" s="14" t="inlineStr">
        <is>
          <t>Upcoming</t>
        </is>
      </c>
      <c r="K8" s="14" t="inlineStr">
        <is>
          <t>Total</t>
        </is>
      </c>
    </row>
    <row r="9">
      <c r="A9" s="15" t="inlineStr">
        <is>
          <t>AI Intelligence</t>
        </is>
      </c>
      <c r="B9" s="16">
        <f>COUNTIFS('Screen Status'!B2:B152,"AI Intelligence",'Screen Status'!G2:G152,"Completed")</f>
        <v/>
      </c>
      <c r="C9" s="16">
        <f>COUNTIFS('Screen Status'!B2:B152,"AI Intelligence",'Screen Status'!G2:G152,"Completed - Needs Fix")</f>
        <v/>
      </c>
      <c r="D9" s="16">
        <f>COUNTIFS('Screen Status'!B2:B152,"AI Intelligence",'Screen Status'!G2:G152,"Ready to Build")</f>
        <v/>
      </c>
      <c r="E9" s="16">
        <f>COUNTIFS('Screen Status'!B2:B152,"AI Intelligence",'Screen Status'!G2:G152,"In Progress (Partial)")</f>
        <v/>
      </c>
      <c r="F9" s="16">
        <f>COUNTIFS('Screen Status'!B2:B152,"AI Intelligence",'Screen Status'!G2:G152,"Not Started")</f>
        <v/>
      </c>
      <c r="G9" s="16">
        <f>COUNTIFS('Screen Status'!B2:B152,"AI Intelligence",'Screen Status'!G2:G152,"Upcoming (Dashboard)")</f>
        <v/>
      </c>
      <c r="H9" s="16">
        <f>COUNTIFS('Screen Status'!B2:B152,"AI Intelligence",'Screen Status'!G2:G152,"Upcoming (Config)")</f>
        <v/>
      </c>
      <c r="I9" s="16">
        <f>COUNTIFS('Screen Status'!B2:B152,"AI Intelligence",'Screen Status'!G2:G152,"Upcoming (Mobile)")</f>
        <v/>
      </c>
      <c r="J9" s="16">
        <f>COUNTIFS('Screen Status'!B2:B152,"AI Intelligence",'Screen Status'!G2:G152,"Upcoming")</f>
        <v/>
      </c>
      <c r="K9" s="17">
        <f>COUNTIF('Screen Status'!B2:B152,"AI Intelligence")</f>
        <v/>
      </c>
    </row>
    <row r="10">
      <c r="A10" s="15" t="inlineStr">
        <is>
          <t>Administration</t>
        </is>
      </c>
      <c r="B10" s="16">
        <f>COUNTIFS('Screen Status'!B2:B152,"Administration",'Screen Status'!G2:G152,"Completed")</f>
        <v/>
      </c>
      <c r="C10" s="16">
        <f>COUNTIFS('Screen Status'!B2:B152,"Administration",'Screen Status'!G2:G152,"Completed - Needs Fix")</f>
        <v/>
      </c>
      <c r="D10" s="16">
        <f>COUNTIFS('Screen Status'!B2:B152,"Administration",'Screen Status'!G2:G152,"Ready to Build")</f>
        <v/>
      </c>
      <c r="E10" s="16">
        <f>COUNTIFS('Screen Status'!B2:B152,"Administration",'Screen Status'!G2:G152,"In Progress (Partial)")</f>
        <v/>
      </c>
      <c r="F10" s="16">
        <f>COUNTIFS('Screen Status'!B2:B152,"Administration",'Screen Status'!G2:G152,"Not Started")</f>
        <v/>
      </c>
      <c r="G10" s="16">
        <f>COUNTIFS('Screen Status'!B2:B152,"Administration",'Screen Status'!G2:G152,"Upcoming (Dashboard)")</f>
        <v/>
      </c>
      <c r="H10" s="16">
        <f>COUNTIFS('Screen Status'!B2:B152,"Administration",'Screen Status'!G2:G152,"Upcoming (Config)")</f>
        <v/>
      </c>
      <c r="I10" s="16">
        <f>COUNTIFS('Screen Status'!B2:B152,"Administration",'Screen Status'!G2:G152,"Upcoming (Mobile)")</f>
        <v/>
      </c>
      <c r="J10" s="16">
        <f>COUNTIFS('Screen Status'!B2:B152,"Administration",'Screen Status'!G2:G152,"Upcoming")</f>
        <v/>
      </c>
      <c r="K10" s="17">
        <f>COUNTIF('Screen Status'!B2:B152,"Administration")</f>
        <v/>
      </c>
    </row>
    <row r="11">
      <c r="A11" s="15" t="inlineStr">
        <is>
          <t>Case Management</t>
        </is>
      </c>
      <c r="B11" s="16">
        <f>COUNTIFS('Screen Status'!B2:B152,"Case Management",'Screen Status'!G2:G152,"Completed")</f>
        <v/>
      </c>
      <c r="C11" s="16">
        <f>COUNTIFS('Screen Status'!B2:B152,"Case Management",'Screen Status'!G2:G152,"Completed - Needs Fix")</f>
        <v/>
      </c>
      <c r="D11" s="16">
        <f>COUNTIFS('Screen Status'!B2:B152,"Case Management",'Screen Status'!G2:G152,"Ready to Build")</f>
        <v/>
      </c>
      <c r="E11" s="16">
        <f>COUNTIFS('Screen Status'!B2:B152,"Case Management",'Screen Status'!G2:G152,"In Progress (Partial)")</f>
        <v/>
      </c>
      <c r="F11" s="16">
        <f>COUNTIFS('Screen Status'!B2:B152,"Case Management",'Screen Status'!G2:G152,"Not Started")</f>
        <v/>
      </c>
      <c r="G11" s="16">
        <f>COUNTIFS('Screen Status'!B2:B152,"Case Management",'Screen Status'!G2:G152,"Upcoming (Dashboard)")</f>
        <v/>
      </c>
      <c r="H11" s="16">
        <f>COUNTIFS('Screen Status'!B2:B152,"Case Management",'Screen Status'!G2:G152,"Upcoming (Config)")</f>
        <v/>
      </c>
      <c r="I11" s="16">
        <f>COUNTIFS('Screen Status'!B2:B152,"Case Management",'Screen Status'!G2:G152,"Upcoming (Mobile)")</f>
        <v/>
      </c>
      <c r="J11" s="16">
        <f>COUNTIFS('Screen Status'!B2:B152,"Case Management",'Screen Status'!G2:G152,"Upcoming")</f>
        <v/>
      </c>
      <c r="K11" s="17">
        <f>COUNTIF('Screen Status'!B2:B152,"Case Management")</f>
        <v/>
      </c>
    </row>
    <row r="12">
      <c r="A12" s="15" t="inlineStr">
        <is>
          <t>Communication</t>
        </is>
      </c>
      <c r="B12" s="16">
        <f>COUNTIFS('Screen Status'!B2:B152,"Communication",'Screen Status'!G2:G152,"Completed")</f>
        <v/>
      </c>
      <c r="C12" s="16">
        <f>COUNTIFS('Screen Status'!B2:B152,"Communication",'Screen Status'!G2:G152,"Completed - Needs Fix")</f>
        <v/>
      </c>
      <c r="D12" s="16">
        <f>COUNTIFS('Screen Status'!B2:B152,"Communication",'Screen Status'!G2:G152,"Ready to Build")</f>
        <v/>
      </c>
      <c r="E12" s="16">
        <f>COUNTIFS('Screen Status'!B2:B152,"Communication",'Screen Status'!G2:G152,"In Progress (Partial)")</f>
        <v/>
      </c>
      <c r="F12" s="16">
        <f>COUNTIFS('Screen Status'!B2:B152,"Communication",'Screen Status'!G2:G152,"Not Started")</f>
        <v/>
      </c>
      <c r="G12" s="16">
        <f>COUNTIFS('Screen Status'!B2:B152,"Communication",'Screen Status'!G2:G152,"Upcoming (Dashboard)")</f>
        <v/>
      </c>
      <c r="H12" s="16">
        <f>COUNTIFS('Screen Status'!B2:B152,"Communication",'Screen Status'!G2:G152,"Upcoming (Config)")</f>
        <v/>
      </c>
      <c r="I12" s="16">
        <f>COUNTIFS('Screen Status'!B2:B152,"Communication",'Screen Status'!G2:G152,"Upcoming (Mobile)")</f>
        <v/>
      </c>
      <c r="J12" s="16">
        <f>COUNTIFS('Screen Status'!B2:B152,"Communication",'Screen Status'!G2:G152,"Upcoming")</f>
        <v/>
      </c>
      <c r="K12" s="17">
        <f>COUNTIF('Screen Status'!B2:B152,"Communication")</f>
        <v/>
      </c>
    </row>
    <row r="13">
      <c r="A13" s="15" t="inlineStr">
        <is>
          <t>Contacts</t>
        </is>
      </c>
      <c r="B13" s="16">
        <f>COUNTIFS('Screen Status'!B2:B152,"Contacts",'Screen Status'!G2:G152,"Completed")</f>
        <v/>
      </c>
      <c r="C13" s="16">
        <f>COUNTIFS('Screen Status'!B2:B152,"Contacts",'Screen Status'!G2:G152,"Completed - Needs Fix")</f>
        <v/>
      </c>
      <c r="D13" s="16">
        <f>COUNTIFS('Screen Status'!B2:B152,"Contacts",'Screen Status'!G2:G152,"Ready to Build")</f>
        <v/>
      </c>
      <c r="E13" s="16">
        <f>COUNTIFS('Screen Status'!B2:B152,"Contacts",'Screen Status'!G2:G152,"In Progress (Partial)")</f>
        <v/>
      </c>
      <c r="F13" s="16">
        <f>COUNTIFS('Screen Status'!B2:B152,"Contacts",'Screen Status'!G2:G152,"Not Started")</f>
        <v/>
      </c>
      <c r="G13" s="16">
        <f>COUNTIFS('Screen Status'!B2:B152,"Contacts",'Screen Status'!G2:G152,"Upcoming (Dashboard)")</f>
        <v/>
      </c>
      <c r="H13" s="16">
        <f>COUNTIFS('Screen Status'!B2:B152,"Contacts",'Screen Status'!G2:G152,"Upcoming (Config)")</f>
        <v/>
      </c>
      <c r="I13" s="16">
        <f>COUNTIFS('Screen Status'!B2:B152,"Contacts",'Screen Status'!G2:G152,"Upcoming (Mobile)")</f>
        <v/>
      </c>
      <c r="J13" s="16">
        <f>COUNTIFS('Screen Status'!B2:B152,"Contacts",'Screen Status'!G2:G152,"Upcoming")</f>
        <v/>
      </c>
      <c r="K13" s="17">
        <f>COUNTIF('Screen Status'!B2:B152,"Contacts")</f>
        <v/>
      </c>
    </row>
    <row r="14">
      <c r="A14" s="15" t="inlineStr">
        <is>
          <t>Field Collection</t>
        </is>
      </c>
      <c r="B14" s="16">
        <f>COUNTIFS('Screen Status'!B2:B152,"Field Collection",'Screen Status'!G2:G152,"Completed")</f>
        <v/>
      </c>
      <c r="C14" s="16">
        <f>COUNTIFS('Screen Status'!B2:B152,"Field Collection",'Screen Status'!G2:G152,"Completed - Needs Fix")</f>
        <v/>
      </c>
      <c r="D14" s="16">
        <f>COUNTIFS('Screen Status'!B2:B152,"Field Collection",'Screen Status'!G2:G152,"Ready to Build")</f>
        <v/>
      </c>
      <c r="E14" s="16">
        <f>COUNTIFS('Screen Status'!B2:B152,"Field Collection",'Screen Status'!G2:G152,"In Progress (Partial)")</f>
        <v/>
      </c>
      <c r="F14" s="16">
        <f>COUNTIFS('Screen Status'!B2:B152,"Field Collection",'Screen Status'!G2:G152,"Not Started")</f>
        <v/>
      </c>
      <c r="G14" s="16">
        <f>COUNTIFS('Screen Status'!B2:B152,"Field Collection",'Screen Status'!G2:G152,"Upcoming (Dashboard)")</f>
        <v/>
      </c>
      <c r="H14" s="16">
        <f>COUNTIFS('Screen Status'!B2:B152,"Field Collection",'Screen Status'!G2:G152,"Upcoming (Config)")</f>
        <v/>
      </c>
      <c r="I14" s="16">
        <f>COUNTIFS('Screen Status'!B2:B152,"Field Collection",'Screen Status'!G2:G152,"Upcoming (Mobile)")</f>
        <v/>
      </c>
      <c r="J14" s="16">
        <f>COUNTIFS('Screen Status'!B2:B152,"Field Collection",'Screen Status'!G2:G152,"Upcoming")</f>
        <v/>
      </c>
      <c r="K14" s="17">
        <f>COUNTIF('Screen Status'!B2:B152,"Field Collection")</f>
        <v/>
      </c>
    </row>
    <row r="15">
      <c r="A15" s="15" t="inlineStr">
        <is>
          <t>Fundraising</t>
        </is>
      </c>
      <c r="B15" s="16">
        <f>COUNTIFS('Screen Status'!B2:B152,"Fundraising",'Screen Status'!G2:G152,"Completed")</f>
        <v/>
      </c>
      <c r="C15" s="16">
        <f>COUNTIFS('Screen Status'!B2:B152,"Fundraising",'Screen Status'!G2:G152,"Completed - Needs Fix")</f>
        <v/>
      </c>
      <c r="D15" s="16">
        <f>COUNTIFS('Screen Status'!B2:B152,"Fundraising",'Screen Status'!G2:G152,"Ready to Build")</f>
        <v/>
      </c>
      <c r="E15" s="16">
        <f>COUNTIFS('Screen Status'!B2:B152,"Fundraising",'Screen Status'!G2:G152,"In Progress (Partial)")</f>
        <v/>
      </c>
      <c r="F15" s="16">
        <f>COUNTIFS('Screen Status'!B2:B152,"Fundraising",'Screen Status'!G2:G152,"Not Started")</f>
        <v/>
      </c>
      <c r="G15" s="16">
        <f>COUNTIFS('Screen Status'!B2:B152,"Fundraising",'Screen Status'!G2:G152,"Upcoming (Dashboard)")</f>
        <v/>
      </c>
      <c r="H15" s="16">
        <f>COUNTIFS('Screen Status'!B2:B152,"Fundraising",'Screen Status'!G2:G152,"Upcoming (Config)")</f>
        <v/>
      </c>
      <c r="I15" s="16">
        <f>COUNTIFS('Screen Status'!B2:B152,"Fundraising",'Screen Status'!G2:G152,"Upcoming (Mobile)")</f>
        <v/>
      </c>
      <c r="J15" s="16">
        <f>COUNTIFS('Screen Status'!B2:B152,"Fundraising",'Screen Status'!G2:G152,"Upcoming")</f>
        <v/>
      </c>
      <c r="K15" s="17">
        <f>COUNTIF('Screen Status'!B2:B152,"Fundraising")</f>
        <v/>
      </c>
    </row>
    <row r="16">
      <c r="A16" s="15" t="inlineStr">
        <is>
          <t>Grants</t>
        </is>
      </c>
      <c r="B16" s="16">
        <f>COUNTIFS('Screen Status'!B2:B152,"Grants",'Screen Status'!G2:G152,"Completed")</f>
        <v/>
      </c>
      <c r="C16" s="16">
        <f>COUNTIFS('Screen Status'!B2:B152,"Grants",'Screen Status'!G2:G152,"Completed - Needs Fix")</f>
        <v/>
      </c>
      <c r="D16" s="16">
        <f>COUNTIFS('Screen Status'!B2:B152,"Grants",'Screen Status'!G2:G152,"Ready to Build")</f>
        <v/>
      </c>
      <c r="E16" s="16">
        <f>COUNTIFS('Screen Status'!B2:B152,"Grants",'Screen Status'!G2:G152,"In Progress (Partial)")</f>
        <v/>
      </c>
      <c r="F16" s="16">
        <f>COUNTIFS('Screen Status'!B2:B152,"Grants",'Screen Status'!G2:G152,"Not Started")</f>
        <v/>
      </c>
      <c r="G16" s="16">
        <f>COUNTIFS('Screen Status'!B2:B152,"Grants",'Screen Status'!G2:G152,"Upcoming (Dashboard)")</f>
        <v/>
      </c>
      <c r="H16" s="16">
        <f>COUNTIFS('Screen Status'!B2:B152,"Grants",'Screen Status'!G2:G152,"Upcoming (Config)")</f>
        <v/>
      </c>
      <c r="I16" s="16">
        <f>COUNTIFS('Screen Status'!B2:B152,"Grants",'Screen Status'!G2:G152,"Upcoming (Mobile)")</f>
        <v/>
      </c>
      <c r="J16" s="16">
        <f>COUNTIFS('Screen Status'!B2:B152,"Grants",'Screen Status'!G2:G152,"Upcoming")</f>
        <v/>
      </c>
      <c r="K16" s="17">
        <f>COUNTIF('Screen Status'!B2:B152,"Grants")</f>
        <v/>
      </c>
    </row>
    <row r="17">
      <c r="A17" s="15" t="inlineStr">
        <is>
          <t>Membership</t>
        </is>
      </c>
      <c r="B17" s="16">
        <f>COUNTIFS('Screen Status'!B2:B152,"Membership",'Screen Status'!G2:G152,"Completed")</f>
        <v/>
      </c>
      <c r="C17" s="16">
        <f>COUNTIFS('Screen Status'!B2:B152,"Membership",'Screen Status'!G2:G152,"Completed - Needs Fix")</f>
        <v/>
      </c>
      <c r="D17" s="16">
        <f>COUNTIFS('Screen Status'!B2:B152,"Membership",'Screen Status'!G2:G152,"Ready to Build")</f>
        <v/>
      </c>
      <c r="E17" s="16">
        <f>COUNTIFS('Screen Status'!B2:B152,"Membership",'Screen Status'!G2:G152,"In Progress (Partial)")</f>
        <v/>
      </c>
      <c r="F17" s="16">
        <f>COUNTIFS('Screen Status'!B2:B152,"Membership",'Screen Status'!G2:G152,"Not Started")</f>
        <v/>
      </c>
      <c r="G17" s="16">
        <f>COUNTIFS('Screen Status'!B2:B152,"Membership",'Screen Status'!G2:G152,"Upcoming (Dashboard)")</f>
        <v/>
      </c>
      <c r="H17" s="16">
        <f>COUNTIFS('Screen Status'!B2:B152,"Membership",'Screen Status'!G2:G152,"Upcoming (Config)")</f>
        <v/>
      </c>
      <c r="I17" s="16">
        <f>COUNTIFS('Screen Status'!B2:B152,"Membership",'Screen Status'!G2:G152,"Upcoming (Mobile)")</f>
        <v/>
      </c>
      <c r="J17" s="16">
        <f>COUNTIFS('Screen Status'!B2:B152,"Membership",'Screen Status'!G2:G152,"Upcoming")</f>
        <v/>
      </c>
      <c r="K17" s="17">
        <f>COUNTIF('Screen Status'!B2:B152,"Membership")</f>
        <v/>
      </c>
    </row>
    <row r="18">
      <c r="A18" s="15" t="inlineStr">
        <is>
          <t>Mobile</t>
        </is>
      </c>
      <c r="B18" s="16">
        <f>COUNTIFS('Screen Status'!B2:B152,"Mobile",'Screen Status'!G2:G152,"Completed")</f>
        <v/>
      </c>
      <c r="C18" s="16">
        <f>COUNTIFS('Screen Status'!B2:B152,"Mobile",'Screen Status'!G2:G152,"Completed - Needs Fix")</f>
        <v/>
      </c>
      <c r="D18" s="16">
        <f>COUNTIFS('Screen Status'!B2:B152,"Mobile",'Screen Status'!G2:G152,"Ready to Build")</f>
        <v/>
      </c>
      <c r="E18" s="16">
        <f>COUNTIFS('Screen Status'!B2:B152,"Mobile",'Screen Status'!G2:G152,"In Progress (Partial)")</f>
        <v/>
      </c>
      <c r="F18" s="16">
        <f>COUNTIFS('Screen Status'!B2:B152,"Mobile",'Screen Status'!G2:G152,"Not Started")</f>
        <v/>
      </c>
      <c r="G18" s="16">
        <f>COUNTIFS('Screen Status'!B2:B152,"Mobile",'Screen Status'!G2:G152,"Upcoming (Dashboard)")</f>
        <v/>
      </c>
      <c r="H18" s="16">
        <f>COUNTIFS('Screen Status'!B2:B152,"Mobile",'Screen Status'!G2:G152,"Upcoming (Config)")</f>
        <v/>
      </c>
      <c r="I18" s="16">
        <f>COUNTIFS('Screen Status'!B2:B152,"Mobile",'Screen Status'!G2:G152,"Upcoming (Mobile)")</f>
        <v/>
      </c>
      <c r="J18" s="16">
        <f>COUNTIFS('Screen Status'!B2:B152,"Mobile",'Screen Status'!G2:G152,"Upcoming")</f>
        <v/>
      </c>
      <c r="K18" s="17">
        <f>COUNTIF('Screen Status'!B2:B152,"Mobile")</f>
        <v/>
      </c>
    </row>
    <row r="19">
      <c r="A19" s="15" t="inlineStr">
        <is>
          <t>Organization</t>
        </is>
      </c>
      <c r="B19" s="16">
        <f>COUNTIFS('Screen Status'!B2:B152,"Organization",'Screen Status'!G2:G152,"Completed")</f>
        <v/>
      </c>
      <c r="C19" s="16">
        <f>COUNTIFS('Screen Status'!B2:B152,"Organization",'Screen Status'!G2:G152,"Completed - Needs Fix")</f>
        <v/>
      </c>
      <c r="D19" s="16">
        <f>COUNTIFS('Screen Status'!B2:B152,"Organization",'Screen Status'!G2:G152,"Ready to Build")</f>
        <v/>
      </c>
      <c r="E19" s="16">
        <f>COUNTIFS('Screen Status'!B2:B152,"Organization",'Screen Status'!G2:G152,"In Progress (Partial)")</f>
        <v/>
      </c>
      <c r="F19" s="16">
        <f>COUNTIFS('Screen Status'!B2:B152,"Organization",'Screen Status'!G2:G152,"Not Started")</f>
        <v/>
      </c>
      <c r="G19" s="16">
        <f>COUNTIFS('Screen Status'!B2:B152,"Organization",'Screen Status'!G2:G152,"Upcoming (Dashboard)")</f>
        <v/>
      </c>
      <c r="H19" s="16">
        <f>COUNTIFS('Screen Status'!B2:B152,"Organization",'Screen Status'!G2:G152,"Upcoming (Config)")</f>
        <v/>
      </c>
      <c r="I19" s="16">
        <f>COUNTIFS('Screen Status'!B2:B152,"Organization",'Screen Status'!G2:G152,"Upcoming (Mobile)")</f>
        <v/>
      </c>
      <c r="J19" s="16">
        <f>COUNTIFS('Screen Status'!B2:B152,"Organization",'Screen Status'!G2:G152,"Upcoming")</f>
        <v/>
      </c>
      <c r="K19" s="17">
        <f>COUNTIF('Screen Status'!B2:B152,"Organization")</f>
        <v/>
      </c>
    </row>
    <row r="20">
      <c r="A20" s="15" t="inlineStr">
        <is>
          <t>Reports</t>
        </is>
      </c>
      <c r="B20" s="16">
        <f>COUNTIFS('Screen Status'!B2:B152,"Reports",'Screen Status'!G2:G152,"Completed")</f>
        <v/>
      </c>
      <c r="C20" s="16">
        <f>COUNTIFS('Screen Status'!B2:B152,"Reports",'Screen Status'!G2:G152,"Completed - Needs Fix")</f>
        <v/>
      </c>
      <c r="D20" s="16">
        <f>COUNTIFS('Screen Status'!B2:B152,"Reports",'Screen Status'!G2:G152,"Ready to Build")</f>
        <v/>
      </c>
      <c r="E20" s="16">
        <f>COUNTIFS('Screen Status'!B2:B152,"Reports",'Screen Status'!G2:G152,"In Progress (Partial)")</f>
        <v/>
      </c>
      <c r="F20" s="16">
        <f>COUNTIFS('Screen Status'!B2:B152,"Reports",'Screen Status'!G2:G152,"Not Started")</f>
        <v/>
      </c>
      <c r="G20" s="16">
        <f>COUNTIFS('Screen Status'!B2:B152,"Reports",'Screen Status'!G2:G152,"Upcoming (Dashboard)")</f>
        <v/>
      </c>
      <c r="H20" s="16">
        <f>COUNTIFS('Screen Status'!B2:B152,"Reports",'Screen Status'!G2:G152,"Upcoming (Config)")</f>
        <v/>
      </c>
      <c r="I20" s="16">
        <f>COUNTIFS('Screen Status'!B2:B152,"Reports",'Screen Status'!G2:G152,"Upcoming (Mobile)")</f>
        <v/>
      </c>
      <c r="J20" s="16">
        <f>COUNTIFS('Screen Status'!B2:B152,"Reports",'Screen Status'!G2:G152,"Upcoming")</f>
        <v/>
      </c>
      <c r="K20" s="17">
        <f>COUNTIF('Screen Status'!B2:B152,"Reports")</f>
        <v/>
      </c>
    </row>
    <row r="21">
      <c r="A21" s="15" t="inlineStr">
        <is>
          <t>Root / Layout</t>
        </is>
      </c>
      <c r="B21" s="16">
        <f>COUNTIFS('Screen Status'!B2:B152,"Root / Layout",'Screen Status'!G2:G152,"Completed")</f>
        <v/>
      </c>
      <c r="C21" s="16">
        <f>COUNTIFS('Screen Status'!B2:B152,"Root / Layout",'Screen Status'!G2:G152,"Completed - Needs Fix")</f>
        <v/>
      </c>
      <c r="D21" s="16">
        <f>COUNTIFS('Screen Status'!B2:B152,"Root / Layout",'Screen Status'!G2:G152,"Ready to Build")</f>
        <v/>
      </c>
      <c r="E21" s="16">
        <f>COUNTIFS('Screen Status'!B2:B152,"Root / Layout",'Screen Status'!G2:G152,"In Progress (Partial)")</f>
        <v/>
      </c>
      <c r="F21" s="16">
        <f>COUNTIFS('Screen Status'!B2:B152,"Root / Layout",'Screen Status'!G2:G152,"Not Started")</f>
        <v/>
      </c>
      <c r="G21" s="16">
        <f>COUNTIFS('Screen Status'!B2:B152,"Root / Layout",'Screen Status'!G2:G152,"Upcoming (Dashboard)")</f>
        <v/>
      </c>
      <c r="H21" s="16">
        <f>COUNTIFS('Screen Status'!B2:B152,"Root / Layout",'Screen Status'!G2:G152,"Upcoming (Config)")</f>
        <v/>
      </c>
      <c r="I21" s="16">
        <f>COUNTIFS('Screen Status'!B2:B152,"Root / Layout",'Screen Status'!G2:G152,"Upcoming (Mobile)")</f>
        <v/>
      </c>
      <c r="J21" s="16">
        <f>COUNTIFS('Screen Status'!B2:B152,"Root / Layout",'Screen Status'!G2:G152,"Upcoming")</f>
        <v/>
      </c>
      <c r="K21" s="17">
        <f>COUNTIF('Screen Status'!B2:B152,"Root / Layout")</f>
        <v/>
      </c>
    </row>
    <row r="22">
      <c r="A22" s="15" t="inlineStr">
        <is>
          <t>Settings</t>
        </is>
      </c>
      <c r="B22" s="16">
        <f>COUNTIFS('Screen Status'!B2:B152,"Settings",'Screen Status'!G2:G152,"Completed")</f>
        <v/>
      </c>
      <c r="C22" s="16">
        <f>COUNTIFS('Screen Status'!B2:B152,"Settings",'Screen Status'!G2:G152,"Completed - Needs Fix")</f>
        <v/>
      </c>
      <c r="D22" s="16">
        <f>COUNTIFS('Screen Status'!B2:B152,"Settings",'Screen Status'!G2:G152,"Ready to Build")</f>
        <v/>
      </c>
      <c r="E22" s="16">
        <f>COUNTIFS('Screen Status'!B2:B152,"Settings",'Screen Status'!G2:G152,"In Progress (Partial)")</f>
        <v/>
      </c>
      <c r="F22" s="16">
        <f>COUNTIFS('Screen Status'!B2:B152,"Settings",'Screen Status'!G2:G152,"Not Started")</f>
        <v/>
      </c>
      <c r="G22" s="16">
        <f>COUNTIFS('Screen Status'!B2:B152,"Settings",'Screen Status'!G2:G152,"Upcoming (Dashboard)")</f>
        <v/>
      </c>
      <c r="H22" s="16">
        <f>COUNTIFS('Screen Status'!B2:B152,"Settings",'Screen Status'!G2:G152,"Upcoming (Config)")</f>
        <v/>
      </c>
      <c r="I22" s="16">
        <f>COUNTIFS('Screen Status'!B2:B152,"Settings",'Screen Status'!G2:G152,"Upcoming (Mobile)")</f>
        <v/>
      </c>
      <c r="J22" s="16">
        <f>COUNTIFS('Screen Status'!B2:B152,"Settings",'Screen Status'!G2:G152,"Upcoming")</f>
        <v/>
      </c>
      <c r="K22" s="17">
        <f>COUNTIF('Screen Status'!B2:B152,"Settings")</f>
        <v/>
      </c>
    </row>
    <row r="23">
      <c r="A23" s="15" t="inlineStr">
        <is>
          <t>Volunteer</t>
        </is>
      </c>
      <c r="B23" s="16">
        <f>COUNTIFS('Screen Status'!B2:B152,"Volunteer",'Screen Status'!G2:G152,"Completed")</f>
        <v/>
      </c>
      <c r="C23" s="16">
        <f>COUNTIFS('Screen Status'!B2:B152,"Volunteer",'Screen Status'!G2:G152,"Completed - Needs Fix")</f>
        <v/>
      </c>
      <c r="D23" s="16">
        <f>COUNTIFS('Screen Status'!B2:B152,"Volunteer",'Screen Status'!G2:G152,"Ready to Build")</f>
        <v/>
      </c>
      <c r="E23" s="16">
        <f>COUNTIFS('Screen Status'!B2:B152,"Volunteer",'Screen Status'!G2:G152,"In Progress (Partial)")</f>
        <v/>
      </c>
      <c r="F23" s="16">
        <f>COUNTIFS('Screen Status'!B2:B152,"Volunteer",'Screen Status'!G2:G152,"Not Started")</f>
        <v/>
      </c>
      <c r="G23" s="16">
        <f>COUNTIFS('Screen Status'!B2:B152,"Volunteer",'Screen Status'!G2:G152,"Upcoming (Dashboard)")</f>
        <v/>
      </c>
      <c r="H23" s="16">
        <f>COUNTIFS('Screen Status'!B2:B152,"Volunteer",'Screen Status'!G2:G152,"Upcoming (Config)")</f>
        <v/>
      </c>
      <c r="I23" s="16">
        <f>COUNTIFS('Screen Status'!B2:B152,"Volunteer",'Screen Status'!G2:G152,"Upcoming (Mobile)")</f>
        <v/>
      </c>
      <c r="J23" s="16">
        <f>COUNTIFS('Screen Status'!B2:B152,"Volunteer",'Screen Status'!G2:G152,"Upcoming")</f>
        <v/>
      </c>
      <c r="K23" s="17">
        <f>COUNTIF('Screen Status'!B2:B152,"Volunteer")</f>
        <v/>
      </c>
    </row>
    <row r="24">
      <c r="A24" s="18" t="inlineStr">
        <is>
          <t>Total</t>
        </is>
      </c>
      <c r="B24" s="17">
        <f>COUNTIF('Screen Status'!G2:G152,"Completed")</f>
        <v/>
      </c>
      <c r="C24" s="17">
        <f>COUNTIF('Screen Status'!G2:G152,"Completed - Needs Fix")</f>
        <v/>
      </c>
      <c r="D24" s="17">
        <f>COUNTIF('Screen Status'!G2:G152,"Ready to Build")</f>
        <v/>
      </c>
      <c r="E24" s="17">
        <f>COUNTIF('Screen Status'!G2:G152,"In Progress (Partial)")</f>
        <v/>
      </c>
      <c r="F24" s="17">
        <f>COUNTIF('Screen Status'!G2:G152,"Not Started")</f>
        <v/>
      </c>
      <c r="G24" s="17">
        <f>COUNTIF('Screen Status'!G2:G152,"Upcoming (Dashboard)")</f>
        <v/>
      </c>
      <c r="H24" s="17">
        <f>COUNTIF('Screen Status'!G2:G152,"Upcoming (Config)")</f>
        <v/>
      </c>
      <c r="I24" s="17">
        <f>COUNTIF('Screen Status'!G2:G152,"Upcoming (Mobile)")</f>
        <v/>
      </c>
      <c r="J24" s="17">
        <f>COUNTIF('Screen Status'!G2:G152,"Upcoming")</f>
        <v/>
      </c>
      <c r="K24" s="17">
        <f>COUNTA('Screen Status'!A2:A152)</f>
        <v/>
      </c>
    </row>
    <row r="25"/>
    <row r="26" ht="15.6" customHeight="1">
      <c r="A26" s="13" t="inlineStr">
        <is>
          <t>② Testing Progress (Dev + QA)</t>
        </is>
      </c>
    </row>
    <row r="27" ht="41.4" customHeight="1">
      <c r="A27" s="14" t="inlineStr">
        <is>
          <t>Module</t>
        </is>
      </c>
      <c r="B27" s="14" t="inlineStr">
        <is>
          <t>Dev: Not Started</t>
        </is>
      </c>
      <c r="C27" s="14" t="inlineStr">
        <is>
          <t>Dev: Pending</t>
        </is>
      </c>
      <c r="D27" s="14" t="inlineStr">
        <is>
          <t>Dev: In Testing</t>
        </is>
      </c>
      <c r="E27" s="14" t="inlineStr">
        <is>
          <t>Dev: Passed</t>
        </is>
      </c>
      <c r="F27" s="14" t="inlineStr">
        <is>
          <t>Dev: Failed</t>
        </is>
      </c>
      <c r="G27" s="14" t="inlineStr">
        <is>
          <t>Dev: Issues Found</t>
        </is>
      </c>
      <c r="H27" s="14" t="inlineStr">
        <is>
          <t>Dev: Blocked</t>
        </is>
      </c>
      <c r="I27" s="14" t="inlineStr">
        <is>
          <t>Dev: N/A</t>
        </is>
      </c>
      <c r="J27" s="14" t="inlineStr">
        <is>
          <t>QA: Not Started</t>
        </is>
      </c>
      <c r="K27" s="14" t="inlineStr">
        <is>
          <t>QA: Pending</t>
        </is>
      </c>
      <c r="L27" s="14" t="inlineStr">
        <is>
          <t>QA: In Testing</t>
        </is>
      </c>
      <c r="M27" s="14" t="inlineStr">
        <is>
          <t>QA: Passed</t>
        </is>
      </c>
      <c r="N27" s="14" t="inlineStr">
        <is>
          <t>QA: Failed</t>
        </is>
      </c>
      <c r="O27" s="14" t="inlineStr">
        <is>
          <t>QA: Issues Found</t>
        </is>
      </c>
      <c r="P27" s="14" t="inlineStr">
        <is>
          <t>QA: Blocked</t>
        </is>
      </c>
      <c r="Q27" s="14" t="inlineStr">
        <is>
          <t>QA: N/A</t>
        </is>
      </c>
    </row>
    <row r="28">
      <c r="A28" s="15" t="inlineStr">
        <is>
          <t>AI Intelligence</t>
        </is>
      </c>
      <c r="B28" s="16">
        <f>COUNTIFS('Screen Status'!B2:B152,"AI Intelligence",'Screen Status'!J2:J152,"Not Started")</f>
        <v/>
      </c>
      <c r="C28" s="16">
        <f>COUNTIFS('Screen Status'!B2:B152,"AI Intelligence",'Screen Status'!J2:J152,"Pending")</f>
        <v/>
      </c>
      <c r="D28" s="16">
        <f>COUNTIFS('Screen Status'!B2:B152,"AI Intelligence",'Screen Status'!J2:J152,"In Testing")</f>
        <v/>
      </c>
      <c r="E28" s="16">
        <f>COUNTIFS('Screen Status'!B2:B152,"AI Intelligence",'Screen Status'!J2:J152,"Passed")</f>
        <v/>
      </c>
      <c r="F28" s="16">
        <f>COUNTIFS('Screen Status'!B2:B152,"AI Intelligence",'Screen Status'!J2:J152,"Failed")</f>
        <v/>
      </c>
      <c r="G28" s="16">
        <f>COUNTIFS('Screen Status'!B2:B152,"AI Intelligence",'Screen Status'!J2:J152,"Issues Found")</f>
        <v/>
      </c>
      <c r="H28" s="16">
        <f>COUNTIFS('Screen Status'!B2:B152,"AI Intelligence",'Screen Status'!J2:J152,"Blocked - Awaiting Fix")</f>
        <v/>
      </c>
      <c r="I28" s="16">
        <f>COUNTIFS('Screen Status'!B2:B152,"AI Intelligence",'Screen Status'!J2:J152,"N/A (Upcoming)")</f>
        <v/>
      </c>
      <c r="J28" s="16">
        <f>COUNTIFS('Screen Status'!B2:B152,"AI Intelligence",'Screen Status'!M2:M152,"Not Started")</f>
        <v/>
      </c>
      <c r="K28" s="16">
        <f>COUNTIFS('Screen Status'!B2:B152,"AI Intelligence",'Screen Status'!M2:M152,"Pending")</f>
        <v/>
      </c>
      <c r="L28" s="16">
        <f>COUNTIFS('Screen Status'!B2:B152,"AI Intelligence",'Screen Status'!M2:M152,"In Testing")</f>
        <v/>
      </c>
      <c r="M28" s="16">
        <f>COUNTIFS('Screen Status'!B2:B152,"AI Intelligence",'Screen Status'!M2:M152,"Passed")</f>
        <v/>
      </c>
      <c r="N28" s="16">
        <f>COUNTIFS('Screen Status'!B2:B152,"AI Intelligence",'Screen Status'!M2:M152,"Failed")</f>
        <v/>
      </c>
      <c r="O28" s="16">
        <f>COUNTIFS('Screen Status'!B2:B152,"AI Intelligence",'Screen Status'!M2:M152,"Issues Found")</f>
        <v/>
      </c>
      <c r="P28" s="16">
        <f>COUNTIFS('Screen Status'!B2:B152,"AI Intelligence",'Screen Status'!M2:M152,"Blocked - Awaiting Fix")</f>
        <v/>
      </c>
      <c r="Q28" s="16">
        <f>COUNTIFS('Screen Status'!B2:B152,"AI Intelligence",'Screen Status'!M2:M152,"N/A (Upcoming)")</f>
        <v/>
      </c>
    </row>
    <row r="29">
      <c r="A29" s="15" t="inlineStr">
        <is>
          <t>Administration</t>
        </is>
      </c>
      <c r="B29" s="16">
        <f>COUNTIFS('Screen Status'!B2:B152,"Administration",'Screen Status'!J2:J152,"Not Started")</f>
        <v/>
      </c>
      <c r="C29" s="16">
        <f>COUNTIFS('Screen Status'!B2:B152,"Administration",'Screen Status'!J2:J152,"Pending")</f>
        <v/>
      </c>
      <c r="D29" s="16">
        <f>COUNTIFS('Screen Status'!B2:B152,"Administration",'Screen Status'!J2:J152,"In Testing")</f>
        <v/>
      </c>
      <c r="E29" s="16">
        <f>COUNTIFS('Screen Status'!B2:B152,"Administration",'Screen Status'!J2:J152,"Passed")</f>
        <v/>
      </c>
      <c r="F29" s="16">
        <f>COUNTIFS('Screen Status'!B2:B152,"Administration",'Screen Status'!J2:J152,"Failed")</f>
        <v/>
      </c>
      <c r="G29" s="16">
        <f>COUNTIFS('Screen Status'!B2:B152,"Administration",'Screen Status'!J2:J152,"Issues Found")</f>
        <v/>
      </c>
      <c r="H29" s="16">
        <f>COUNTIFS('Screen Status'!B2:B152,"Administration",'Screen Status'!J2:J152,"Blocked - Awaiting Fix")</f>
        <v/>
      </c>
      <c r="I29" s="16">
        <f>COUNTIFS('Screen Status'!B2:B152,"Administration",'Screen Status'!J2:J152,"N/A (Upcoming)")</f>
        <v/>
      </c>
      <c r="J29" s="16">
        <f>COUNTIFS('Screen Status'!B2:B152,"Administration",'Screen Status'!M2:M152,"Not Started")</f>
        <v/>
      </c>
      <c r="K29" s="16">
        <f>COUNTIFS('Screen Status'!B2:B152,"Administration",'Screen Status'!M2:M152,"Pending")</f>
        <v/>
      </c>
      <c r="L29" s="16">
        <f>COUNTIFS('Screen Status'!B2:B152,"Administration",'Screen Status'!M2:M152,"In Testing")</f>
        <v/>
      </c>
      <c r="M29" s="16">
        <f>COUNTIFS('Screen Status'!B2:B152,"Administration",'Screen Status'!M2:M152,"Passed")</f>
        <v/>
      </c>
      <c r="N29" s="16">
        <f>COUNTIFS('Screen Status'!B2:B152,"Administration",'Screen Status'!M2:M152,"Failed")</f>
        <v/>
      </c>
      <c r="O29" s="16">
        <f>COUNTIFS('Screen Status'!B2:B152,"Administration",'Screen Status'!M2:M152,"Issues Found")</f>
        <v/>
      </c>
      <c r="P29" s="16">
        <f>COUNTIFS('Screen Status'!B2:B152,"Administration",'Screen Status'!M2:M152,"Blocked - Awaiting Fix")</f>
        <v/>
      </c>
      <c r="Q29" s="16">
        <f>COUNTIFS('Screen Status'!B2:B152,"Administration",'Screen Status'!M2:M152,"N/A (Upcoming)")</f>
        <v/>
      </c>
    </row>
    <row r="30">
      <c r="A30" s="15" t="inlineStr">
        <is>
          <t>Case Management</t>
        </is>
      </c>
      <c r="B30" s="16">
        <f>COUNTIFS('Screen Status'!B2:B152,"Case Management",'Screen Status'!J2:J152,"Not Started")</f>
        <v/>
      </c>
      <c r="C30" s="16">
        <f>COUNTIFS('Screen Status'!B2:B152,"Case Management",'Screen Status'!J2:J152,"Pending")</f>
        <v/>
      </c>
      <c r="D30" s="16">
        <f>COUNTIFS('Screen Status'!B2:B152,"Case Management",'Screen Status'!J2:J152,"In Testing")</f>
        <v/>
      </c>
      <c r="E30" s="16">
        <f>COUNTIFS('Screen Status'!B2:B152,"Case Management",'Screen Status'!J2:J152,"Passed")</f>
        <v/>
      </c>
      <c r="F30" s="16">
        <f>COUNTIFS('Screen Status'!B2:B152,"Case Management",'Screen Status'!J2:J152,"Failed")</f>
        <v/>
      </c>
      <c r="G30" s="16">
        <f>COUNTIFS('Screen Status'!B2:B152,"Case Management",'Screen Status'!J2:J152,"Issues Found")</f>
        <v/>
      </c>
      <c r="H30" s="16">
        <f>COUNTIFS('Screen Status'!B2:B152,"Case Management",'Screen Status'!J2:J152,"Blocked - Awaiting Fix")</f>
        <v/>
      </c>
      <c r="I30" s="16">
        <f>COUNTIFS('Screen Status'!B2:B152,"Case Management",'Screen Status'!J2:J152,"N/A (Upcoming)")</f>
        <v/>
      </c>
      <c r="J30" s="16">
        <f>COUNTIFS('Screen Status'!B2:B152,"Case Management",'Screen Status'!M2:M152,"Not Started")</f>
        <v/>
      </c>
      <c r="K30" s="16">
        <f>COUNTIFS('Screen Status'!B2:B152,"Case Management",'Screen Status'!M2:M152,"Pending")</f>
        <v/>
      </c>
      <c r="L30" s="16">
        <f>COUNTIFS('Screen Status'!B2:B152,"Case Management",'Screen Status'!M2:M152,"In Testing")</f>
        <v/>
      </c>
      <c r="M30" s="16">
        <f>COUNTIFS('Screen Status'!B2:B152,"Case Management",'Screen Status'!M2:M152,"Passed")</f>
        <v/>
      </c>
      <c r="N30" s="16">
        <f>COUNTIFS('Screen Status'!B2:B152,"Case Management",'Screen Status'!M2:M152,"Failed")</f>
        <v/>
      </c>
      <c r="O30" s="16">
        <f>COUNTIFS('Screen Status'!B2:B152,"Case Management",'Screen Status'!M2:M152,"Issues Found")</f>
        <v/>
      </c>
      <c r="P30" s="16">
        <f>COUNTIFS('Screen Status'!B2:B152,"Case Management",'Screen Status'!M2:M152,"Blocked - Awaiting Fix")</f>
        <v/>
      </c>
      <c r="Q30" s="16">
        <f>COUNTIFS('Screen Status'!B2:B152,"Case Management",'Screen Status'!M2:M152,"N/A (Upcoming)")</f>
        <v/>
      </c>
    </row>
    <row r="31">
      <c r="A31" s="15" t="inlineStr">
        <is>
          <t>Communication</t>
        </is>
      </c>
      <c r="B31" s="16">
        <f>COUNTIFS('Screen Status'!B2:B152,"Communication",'Screen Status'!J2:J152,"Not Started")</f>
        <v/>
      </c>
      <c r="C31" s="16">
        <f>COUNTIFS('Screen Status'!B2:B152,"Communication",'Screen Status'!J2:J152,"Pending")</f>
        <v/>
      </c>
      <c r="D31" s="16">
        <f>COUNTIFS('Screen Status'!B2:B152,"Communication",'Screen Status'!J2:J152,"In Testing")</f>
        <v/>
      </c>
      <c r="E31" s="16">
        <f>COUNTIFS('Screen Status'!B2:B152,"Communication",'Screen Status'!J2:J152,"Passed")</f>
        <v/>
      </c>
      <c r="F31" s="16">
        <f>COUNTIFS('Screen Status'!B2:B152,"Communication",'Screen Status'!J2:J152,"Failed")</f>
        <v/>
      </c>
      <c r="G31" s="16">
        <f>COUNTIFS('Screen Status'!B2:B152,"Communication",'Screen Status'!J2:J152,"Issues Found")</f>
        <v/>
      </c>
      <c r="H31" s="16">
        <f>COUNTIFS('Screen Status'!B2:B152,"Communication",'Screen Status'!J2:J152,"Blocked - Awaiting Fix")</f>
        <v/>
      </c>
      <c r="I31" s="16">
        <f>COUNTIFS('Screen Status'!B2:B152,"Communication",'Screen Status'!J2:J152,"N/A (Upcoming)")</f>
        <v/>
      </c>
      <c r="J31" s="16">
        <f>COUNTIFS('Screen Status'!B2:B152,"Communication",'Screen Status'!M2:M152,"Not Started")</f>
        <v/>
      </c>
      <c r="K31" s="16">
        <f>COUNTIFS('Screen Status'!B2:B152,"Communication",'Screen Status'!M2:M152,"Pending")</f>
        <v/>
      </c>
      <c r="L31" s="16">
        <f>COUNTIFS('Screen Status'!B2:B152,"Communication",'Screen Status'!M2:M152,"In Testing")</f>
        <v/>
      </c>
      <c r="M31" s="16">
        <f>COUNTIFS('Screen Status'!B2:B152,"Communication",'Screen Status'!M2:M152,"Passed")</f>
        <v/>
      </c>
      <c r="N31" s="16">
        <f>COUNTIFS('Screen Status'!B2:B152,"Communication",'Screen Status'!M2:M152,"Failed")</f>
        <v/>
      </c>
      <c r="O31" s="16">
        <f>COUNTIFS('Screen Status'!B2:B152,"Communication",'Screen Status'!M2:M152,"Issues Found")</f>
        <v/>
      </c>
      <c r="P31" s="16">
        <f>COUNTIFS('Screen Status'!B2:B152,"Communication",'Screen Status'!M2:M152,"Blocked - Awaiting Fix")</f>
        <v/>
      </c>
      <c r="Q31" s="16">
        <f>COUNTIFS('Screen Status'!B2:B152,"Communication",'Screen Status'!M2:M152,"N/A (Upcoming)")</f>
        <v/>
      </c>
    </row>
    <row r="32">
      <c r="A32" s="15" t="inlineStr">
        <is>
          <t>Contacts</t>
        </is>
      </c>
      <c r="B32" s="16">
        <f>COUNTIFS('Screen Status'!B2:B152,"Contacts",'Screen Status'!J2:J152,"Not Started")</f>
        <v/>
      </c>
      <c r="C32" s="16">
        <f>COUNTIFS('Screen Status'!B2:B152,"Contacts",'Screen Status'!J2:J152,"Pending")</f>
        <v/>
      </c>
      <c r="D32" s="16">
        <f>COUNTIFS('Screen Status'!B2:B152,"Contacts",'Screen Status'!J2:J152,"In Testing")</f>
        <v/>
      </c>
      <c r="E32" s="16">
        <f>COUNTIFS('Screen Status'!B2:B152,"Contacts",'Screen Status'!J2:J152,"Passed")</f>
        <v/>
      </c>
      <c r="F32" s="16">
        <f>COUNTIFS('Screen Status'!B2:B152,"Contacts",'Screen Status'!J2:J152,"Failed")</f>
        <v/>
      </c>
      <c r="G32" s="16">
        <f>COUNTIFS('Screen Status'!B2:B152,"Contacts",'Screen Status'!J2:J152,"Issues Found")</f>
        <v/>
      </c>
      <c r="H32" s="16">
        <f>COUNTIFS('Screen Status'!B2:B152,"Contacts",'Screen Status'!J2:J152,"Blocked - Awaiting Fix")</f>
        <v/>
      </c>
      <c r="I32" s="16">
        <f>COUNTIFS('Screen Status'!B2:B152,"Contacts",'Screen Status'!J2:J152,"N/A (Upcoming)")</f>
        <v/>
      </c>
      <c r="J32" s="16">
        <f>COUNTIFS('Screen Status'!B2:B152,"Contacts",'Screen Status'!M2:M152,"Not Started")</f>
        <v/>
      </c>
      <c r="K32" s="16">
        <f>COUNTIFS('Screen Status'!B2:B152,"Contacts",'Screen Status'!M2:M152,"Pending")</f>
        <v/>
      </c>
      <c r="L32" s="16">
        <f>COUNTIFS('Screen Status'!B2:B152,"Contacts",'Screen Status'!M2:M152,"In Testing")</f>
        <v/>
      </c>
      <c r="M32" s="16">
        <f>COUNTIFS('Screen Status'!B2:B152,"Contacts",'Screen Status'!M2:M152,"Passed")</f>
        <v/>
      </c>
      <c r="N32" s="16">
        <f>COUNTIFS('Screen Status'!B2:B152,"Contacts",'Screen Status'!M2:M152,"Failed")</f>
        <v/>
      </c>
      <c r="O32" s="16">
        <f>COUNTIFS('Screen Status'!B2:B152,"Contacts",'Screen Status'!M2:M152,"Issues Found")</f>
        <v/>
      </c>
      <c r="P32" s="16">
        <f>COUNTIFS('Screen Status'!B2:B152,"Contacts",'Screen Status'!M2:M152,"Blocked - Awaiting Fix")</f>
        <v/>
      </c>
      <c r="Q32" s="16">
        <f>COUNTIFS('Screen Status'!B2:B152,"Contacts",'Screen Status'!M2:M152,"N/A (Upcoming)")</f>
        <v/>
      </c>
    </row>
    <row r="33">
      <c r="A33" s="15" t="inlineStr">
        <is>
          <t>Field Collection</t>
        </is>
      </c>
      <c r="B33" s="16">
        <f>COUNTIFS('Screen Status'!B2:B152,"Field Collection",'Screen Status'!J2:J152,"Not Started")</f>
        <v/>
      </c>
      <c r="C33" s="16">
        <f>COUNTIFS('Screen Status'!B2:B152,"Field Collection",'Screen Status'!J2:J152,"Pending")</f>
        <v/>
      </c>
      <c r="D33" s="16">
        <f>COUNTIFS('Screen Status'!B2:B152,"Field Collection",'Screen Status'!J2:J152,"In Testing")</f>
        <v/>
      </c>
      <c r="E33" s="16">
        <f>COUNTIFS('Screen Status'!B2:B152,"Field Collection",'Screen Status'!J2:J152,"Passed")</f>
        <v/>
      </c>
      <c r="F33" s="16">
        <f>COUNTIFS('Screen Status'!B2:B152,"Field Collection",'Screen Status'!J2:J152,"Failed")</f>
        <v/>
      </c>
      <c r="G33" s="16">
        <f>COUNTIFS('Screen Status'!B2:B152,"Field Collection",'Screen Status'!J2:J152,"Issues Found")</f>
        <v/>
      </c>
      <c r="H33" s="16">
        <f>COUNTIFS('Screen Status'!B2:B152,"Field Collection",'Screen Status'!J2:J152,"Blocked - Awaiting Fix")</f>
        <v/>
      </c>
      <c r="I33" s="16">
        <f>COUNTIFS('Screen Status'!B2:B152,"Field Collection",'Screen Status'!J2:J152,"N/A (Upcoming)")</f>
        <v/>
      </c>
      <c r="J33" s="16">
        <f>COUNTIFS('Screen Status'!B2:B152,"Field Collection",'Screen Status'!M2:M152,"Not Started")</f>
        <v/>
      </c>
      <c r="K33" s="16">
        <f>COUNTIFS('Screen Status'!B2:B152,"Field Collection",'Screen Status'!M2:M152,"Pending")</f>
        <v/>
      </c>
      <c r="L33" s="16">
        <f>COUNTIFS('Screen Status'!B2:B152,"Field Collection",'Screen Status'!M2:M152,"In Testing")</f>
        <v/>
      </c>
      <c r="M33" s="16">
        <f>COUNTIFS('Screen Status'!B2:B152,"Field Collection",'Screen Status'!M2:M152,"Passed")</f>
        <v/>
      </c>
      <c r="N33" s="16">
        <f>COUNTIFS('Screen Status'!B2:B152,"Field Collection",'Screen Status'!M2:M152,"Failed")</f>
        <v/>
      </c>
      <c r="O33" s="16">
        <f>COUNTIFS('Screen Status'!B2:B152,"Field Collection",'Screen Status'!M2:M152,"Issues Found")</f>
        <v/>
      </c>
      <c r="P33" s="16">
        <f>COUNTIFS('Screen Status'!B2:B152,"Field Collection",'Screen Status'!M2:M152,"Blocked - Awaiting Fix")</f>
        <v/>
      </c>
      <c r="Q33" s="16">
        <f>COUNTIFS('Screen Status'!B2:B152,"Field Collection",'Screen Status'!M2:M152,"N/A (Upcoming)")</f>
        <v/>
      </c>
    </row>
    <row r="34">
      <c r="A34" s="15" t="inlineStr">
        <is>
          <t>Fundraising</t>
        </is>
      </c>
      <c r="B34" s="16">
        <f>COUNTIFS('Screen Status'!B2:B152,"Fundraising",'Screen Status'!J2:J152,"Not Started")</f>
        <v/>
      </c>
      <c r="C34" s="16">
        <f>COUNTIFS('Screen Status'!B2:B152,"Fundraising",'Screen Status'!J2:J152,"Pending")</f>
        <v/>
      </c>
      <c r="D34" s="16">
        <f>COUNTIFS('Screen Status'!B2:B152,"Fundraising",'Screen Status'!J2:J152,"In Testing")</f>
        <v/>
      </c>
      <c r="E34" s="16">
        <f>COUNTIFS('Screen Status'!B2:B152,"Fundraising",'Screen Status'!J2:J152,"Passed")</f>
        <v/>
      </c>
      <c r="F34" s="16">
        <f>COUNTIFS('Screen Status'!B2:B152,"Fundraising",'Screen Status'!J2:J152,"Failed")</f>
        <v/>
      </c>
      <c r="G34" s="16">
        <f>COUNTIFS('Screen Status'!B2:B152,"Fundraising",'Screen Status'!J2:J152,"Issues Found")</f>
        <v/>
      </c>
      <c r="H34" s="16">
        <f>COUNTIFS('Screen Status'!B2:B152,"Fundraising",'Screen Status'!J2:J152,"Blocked - Awaiting Fix")</f>
        <v/>
      </c>
      <c r="I34" s="16">
        <f>COUNTIFS('Screen Status'!B2:B152,"Fundraising",'Screen Status'!J2:J152,"N/A (Upcoming)")</f>
        <v/>
      </c>
      <c r="J34" s="16">
        <f>COUNTIFS('Screen Status'!B2:B152,"Fundraising",'Screen Status'!M2:M152,"Not Started")</f>
        <v/>
      </c>
      <c r="K34" s="16">
        <f>COUNTIFS('Screen Status'!B2:B152,"Fundraising",'Screen Status'!M2:M152,"Pending")</f>
        <v/>
      </c>
      <c r="L34" s="16">
        <f>COUNTIFS('Screen Status'!B2:B152,"Fundraising",'Screen Status'!M2:M152,"In Testing")</f>
        <v/>
      </c>
      <c r="M34" s="16">
        <f>COUNTIFS('Screen Status'!B2:B152,"Fundraising",'Screen Status'!M2:M152,"Passed")</f>
        <v/>
      </c>
      <c r="N34" s="16">
        <f>COUNTIFS('Screen Status'!B2:B152,"Fundraising",'Screen Status'!M2:M152,"Failed")</f>
        <v/>
      </c>
      <c r="O34" s="16">
        <f>COUNTIFS('Screen Status'!B2:B152,"Fundraising",'Screen Status'!M2:M152,"Issues Found")</f>
        <v/>
      </c>
      <c r="P34" s="16">
        <f>COUNTIFS('Screen Status'!B2:B152,"Fundraising",'Screen Status'!M2:M152,"Blocked - Awaiting Fix")</f>
        <v/>
      </c>
      <c r="Q34" s="16">
        <f>COUNTIFS('Screen Status'!B2:B152,"Fundraising",'Screen Status'!M2:M152,"N/A (Upcoming)")</f>
        <v/>
      </c>
    </row>
    <row r="35">
      <c r="A35" s="15" t="inlineStr">
        <is>
          <t>Grants</t>
        </is>
      </c>
      <c r="B35" s="16">
        <f>COUNTIFS('Screen Status'!B2:B152,"Grants",'Screen Status'!J2:J152,"Not Started")</f>
        <v/>
      </c>
      <c r="C35" s="16">
        <f>COUNTIFS('Screen Status'!B2:B152,"Grants",'Screen Status'!J2:J152,"Pending")</f>
        <v/>
      </c>
      <c r="D35" s="16">
        <f>COUNTIFS('Screen Status'!B2:B152,"Grants",'Screen Status'!J2:J152,"In Testing")</f>
        <v/>
      </c>
      <c r="E35" s="16">
        <f>COUNTIFS('Screen Status'!B2:B152,"Grants",'Screen Status'!J2:J152,"Passed")</f>
        <v/>
      </c>
      <c r="F35" s="16">
        <f>COUNTIFS('Screen Status'!B2:B152,"Grants",'Screen Status'!J2:J152,"Failed")</f>
        <v/>
      </c>
      <c r="G35" s="16">
        <f>COUNTIFS('Screen Status'!B2:B152,"Grants",'Screen Status'!J2:J152,"Issues Found")</f>
        <v/>
      </c>
      <c r="H35" s="16">
        <f>COUNTIFS('Screen Status'!B2:B152,"Grants",'Screen Status'!J2:J152,"Blocked - Awaiting Fix")</f>
        <v/>
      </c>
      <c r="I35" s="16">
        <f>COUNTIFS('Screen Status'!B2:B152,"Grants",'Screen Status'!J2:J152,"N/A (Upcoming)")</f>
        <v/>
      </c>
      <c r="J35" s="16">
        <f>COUNTIFS('Screen Status'!B2:B152,"Grants",'Screen Status'!M2:M152,"Not Started")</f>
        <v/>
      </c>
      <c r="K35" s="16">
        <f>COUNTIFS('Screen Status'!B2:B152,"Grants",'Screen Status'!M2:M152,"Pending")</f>
        <v/>
      </c>
      <c r="L35" s="16">
        <f>COUNTIFS('Screen Status'!B2:B152,"Grants",'Screen Status'!M2:M152,"In Testing")</f>
        <v/>
      </c>
      <c r="M35" s="16">
        <f>COUNTIFS('Screen Status'!B2:B152,"Grants",'Screen Status'!M2:M152,"Passed")</f>
        <v/>
      </c>
      <c r="N35" s="16">
        <f>COUNTIFS('Screen Status'!B2:B152,"Grants",'Screen Status'!M2:M152,"Failed")</f>
        <v/>
      </c>
      <c r="O35" s="16">
        <f>COUNTIFS('Screen Status'!B2:B152,"Grants",'Screen Status'!M2:M152,"Issues Found")</f>
        <v/>
      </c>
      <c r="P35" s="16">
        <f>COUNTIFS('Screen Status'!B2:B152,"Grants",'Screen Status'!M2:M152,"Blocked - Awaiting Fix")</f>
        <v/>
      </c>
      <c r="Q35" s="16">
        <f>COUNTIFS('Screen Status'!B2:B152,"Grants",'Screen Status'!M2:M152,"N/A (Upcoming)")</f>
        <v/>
      </c>
    </row>
    <row r="36">
      <c r="A36" s="15" t="inlineStr">
        <is>
          <t>Membership</t>
        </is>
      </c>
      <c r="B36" s="16">
        <f>COUNTIFS('Screen Status'!B2:B152,"Membership",'Screen Status'!J2:J152,"Not Started")</f>
        <v/>
      </c>
      <c r="C36" s="16">
        <f>COUNTIFS('Screen Status'!B2:B152,"Membership",'Screen Status'!J2:J152,"Pending")</f>
        <v/>
      </c>
      <c r="D36" s="16">
        <f>COUNTIFS('Screen Status'!B2:B152,"Membership",'Screen Status'!J2:J152,"In Testing")</f>
        <v/>
      </c>
      <c r="E36" s="16">
        <f>COUNTIFS('Screen Status'!B2:B152,"Membership",'Screen Status'!J2:J152,"Passed")</f>
        <v/>
      </c>
      <c r="F36" s="16">
        <f>COUNTIFS('Screen Status'!B2:B152,"Membership",'Screen Status'!J2:J152,"Failed")</f>
        <v/>
      </c>
      <c r="G36" s="16">
        <f>COUNTIFS('Screen Status'!B2:B152,"Membership",'Screen Status'!J2:J152,"Issues Found")</f>
        <v/>
      </c>
      <c r="H36" s="16">
        <f>COUNTIFS('Screen Status'!B2:B152,"Membership",'Screen Status'!J2:J152,"Blocked - Awaiting Fix")</f>
        <v/>
      </c>
      <c r="I36" s="16">
        <f>COUNTIFS('Screen Status'!B2:B152,"Membership",'Screen Status'!J2:J152,"N/A (Upcoming)")</f>
        <v/>
      </c>
      <c r="J36" s="16">
        <f>COUNTIFS('Screen Status'!B2:B152,"Membership",'Screen Status'!M2:M152,"Not Started")</f>
        <v/>
      </c>
      <c r="K36" s="16">
        <f>COUNTIFS('Screen Status'!B2:B152,"Membership",'Screen Status'!M2:M152,"Pending")</f>
        <v/>
      </c>
      <c r="L36" s="16">
        <f>COUNTIFS('Screen Status'!B2:B152,"Membership",'Screen Status'!M2:M152,"In Testing")</f>
        <v/>
      </c>
      <c r="M36" s="16">
        <f>COUNTIFS('Screen Status'!B2:B152,"Membership",'Screen Status'!M2:M152,"Passed")</f>
        <v/>
      </c>
      <c r="N36" s="16">
        <f>COUNTIFS('Screen Status'!B2:B152,"Membership",'Screen Status'!M2:M152,"Failed")</f>
        <v/>
      </c>
      <c r="O36" s="16">
        <f>COUNTIFS('Screen Status'!B2:B152,"Membership",'Screen Status'!M2:M152,"Issues Found")</f>
        <v/>
      </c>
      <c r="P36" s="16">
        <f>COUNTIFS('Screen Status'!B2:B152,"Membership",'Screen Status'!M2:M152,"Blocked - Awaiting Fix")</f>
        <v/>
      </c>
      <c r="Q36" s="16">
        <f>COUNTIFS('Screen Status'!B2:B152,"Membership",'Screen Status'!M2:M152,"N/A (Upcoming)")</f>
        <v/>
      </c>
    </row>
    <row r="37">
      <c r="A37" s="15" t="inlineStr">
        <is>
          <t>Mobile</t>
        </is>
      </c>
      <c r="B37" s="16">
        <f>COUNTIFS('Screen Status'!B2:B152,"Mobile",'Screen Status'!J2:J152,"Not Started")</f>
        <v/>
      </c>
      <c r="C37" s="16">
        <f>COUNTIFS('Screen Status'!B2:B152,"Mobile",'Screen Status'!J2:J152,"Pending")</f>
        <v/>
      </c>
      <c r="D37" s="16">
        <f>COUNTIFS('Screen Status'!B2:B152,"Mobile",'Screen Status'!J2:J152,"In Testing")</f>
        <v/>
      </c>
      <c r="E37" s="16">
        <f>COUNTIFS('Screen Status'!B2:B152,"Mobile",'Screen Status'!J2:J152,"Passed")</f>
        <v/>
      </c>
      <c r="F37" s="16">
        <f>COUNTIFS('Screen Status'!B2:B152,"Mobile",'Screen Status'!J2:J152,"Failed")</f>
        <v/>
      </c>
      <c r="G37" s="16">
        <f>COUNTIFS('Screen Status'!B2:B152,"Mobile",'Screen Status'!J2:J152,"Issues Found")</f>
        <v/>
      </c>
      <c r="H37" s="16">
        <f>COUNTIFS('Screen Status'!B2:B152,"Mobile",'Screen Status'!J2:J152,"Blocked - Awaiting Fix")</f>
        <v/>
      </c>
      <c r="I37" s="16">
        <f>COUNTIFS('Screen Status'!B2:B152,"Mobile",'Screen Status'!J2:J152,"N/A (Upcoming)")</f>
        <v/>
      </c>
      <c r="J37" s="16">
        <f>COUNTIFS('Screen Status'!B2:B152,"Mobile",'Screen Status'!M2:M152,"Not Started")</f>
        <v/>
      </c>
      <c r="K37" s="16">
        <f>COUNTIFS('Screen Status'!B2:B152,"Mobile",'Screen Status'!M2:M152,"Pending")</f>
        <v/>
      </c>
      <c r="L37" s="16">
        <f>COUNTIFS('Screen Status'!B2:B152,"Mobile",'Screen Status'!M2:M152,"In Testing")</f>
        <v/>
      </c>
      <c r="M37" s="16">
        <f>COUNTIFS('Screen Status'!B2:B152,"Mobile",'Screen Status'!M2:M152,"Passed")</f>
        <v/>
      </c>
      <c r="N37" s="16">
        <f>COUNTIFS('Screen Status'!B2:B152,"Mobile",'Screen Status'!M2:M152,"Failed")</f>
        <v/>
      </c>
      <c r="O37" s="16">
        <f>COUNTIFS('Screen Status'!B2:B152,"Mobile",'Screen Status'!M2:M152,"Issues Found")</f>
        <v/>
      </c>
      <c r="P37" s="16">
        <f>COUNTIFS('Screen Status'!B2:B152,"Mobile",'Screen Status'!M2:M152,"Blocked - Awaiting Fix")</f>
        <v/>
      </c>
      <c r="Q37" s="16">
        <f>COUNTIFS('Screen Status'!B2:B152,"Mobile",'Screen Status'!M2:M152,"N/A (Upcoming)")</f>
        <v/>
      </c>
    </row>
    <row r="38">
      <c r="A38" s="15" t="inlineStr">
        <is>
          <t>Organization</t>
        </is>
      </c>
      <c r="B38" s="16">
        <f>COUNTIFS('Screen Status'!B2:B152,"Organization",'Screen Status'!J2:J152,"Not Started")</f>
        <v/>
      </c>
      <c r="C38" s="16">
        <f>COUNTIFS('Screen Status'!B2:B152,"Organization",'Screen Status'!J2:J152,"Pending")</f>
        <v/>
      </c>
      <c r="D38" s="16">
        <f>COUNTIFS('Screen Status'!B2:B152,"Organization",'Screen Status'!J2:J152,"In Testing")</f>
        <v/>
      </c>
      <c r="E38" s="16">
        <f>COUNTIFS('Screen Status'!B2:B152,"Organization",'Screen Status'!J2:J152,"Passed")</f>
        <v/>
      </c>
      <c r="F38" s="16">
        <f>COUNTIFS('Screen Status'!B2:B152,"Organization",'Screen Status'!J2:J152,"Failed")</f>
        <v/>
      </c>
      <c r="G38" s="16">
        <f>COUNTIFS('Screen Status'!B2:B152,"Organization",'Screen Status'!J2:J152,"Issues Found")</f>
        <v/>
      </c>
      <c r="H38" s="16">
        <f>COUNTIFS('Screen Status'!B2:B152,"Organization",'Screen Status'!J2:J152,"Blocked - Awaiting Fix")</f>
        <v/>
      </c>
      <c r="I38" s="16">
        <f>COUNTIFS('Screen Status'!B2:B152,"Organization",'Screen Status'!J2:J152,"N/A (Upcoming)")</f>
        <v/>
      </c>
      <c r="J38" s="16">
        <f>COUNTIFS('Screen Status'!B2:B152,"Organization",'Screen Status'!M2:M152,"Not Started")</f>
        <v/>
      </c>
      <c r="K38" s="16">
        <f>COUNTIFS('Screen Status'!B2:B152,"Organization",'Screen Status'!M2:M152,"Pending")</f>
        <v/>
      </c>
      <c r="L38" s="16">
        <f>COUNTIFS('Screen Status'!B2:B152,"Organization",'Screen Status'!M2:M152,"In Testing")</f>
        <v/>
      </c>
      <c r="M38" s="16">
        <f>COUNTIFS('Screen Status'!B2:B152,"Organization",'Screen Status'!M2:M152,"Passed")</f>
        <v/>
      </c>
      <c r="N38" s="16">
        <f>COUNTIFS('Screen Status'!B2:B152,"Organization",'Screen Status'!M2:M152,"Failed")</f>
        <v/>
      </c>
      <c r="O38" s="16">
        <f>COUNTIFS('Screen Status'!B2:B152,"Organization",'Screen Status'!M2:M152,"Issues Found")</f>
        <v/>
      </c>
      <c r="P38" s="16">
        <f>COUNTIFS('Screen Status'!B2:B152,"Organization",'Screen Status'!M2:M152,"Blocked - Awaiting Fix")</f>
        <v/>
      </c>
      <c r="Q38" s="16">
        <f>COUNTIFS('Screen Status'!B2:B152,"Organization",'Screen Status'!M2:M152,"N/A (Upcoming)")</f>
        <v/>
      </c>
    </row>
    <row r="39">
      <c r="A39" s="15" t="inlineStr">
        <is>
          <t>Reports</t>
        </is>
      </c>
      <c r="B39" s="16">
        <f>COUNTIFS('Screen Status'!B2:B152,"Reports",'Screen Status'!J2:J152,"Not Started")</f>
        <v/>
      </c>
      <c r="C39" s="16">
        <f>COUNTIFS('Screen Status'!B2:B152,"Reports",'Screen Status'!J2:J152,"Pending")</f>
        <v/>
      </c>
      <c r="D39" s="16">
        <f>COUNTIFS('Screen Status'!B2:B152,"Reports",'Screen Status'!J2:J152,"In Testing")</f>
        <v/>
      </c>
      <c r="E39" s="16">
        <f>COUNTIFS('Screen Status'!B2:B152,"Reports",'Screen Status'!J2:J152,"Passed")</f>
        <v/>
      </c>
      <c r="F39" s="16">
        <f>COUNTIFS('Screen Status'!B2:B152,"Reports",'Screen Status'!J2:J152,"Failed")</f>
        <v/>
      </c>
      <c r="G39" s="16">
        <f>COUNTIFS('Screen Status'!B2:B152,"Reports",'Screen Status'!J2:J152,"Issues Found")</f>
        <v/>
      </c>
      <c r="H39" s="16">
        <f>COUNTIFS('Screen Status'!B2:B152,"Reports",'Screen Status'!J2:J152,"Blocked - Awaiting Fix")</f>
        <v/>
      </c>
      <c r="I39" s="16">
        <f>COUNTIFS('Screen Status'!B2:B152,"Reports",'Screen Status'!J2:J152,"N/A (Upcoming)")</f>
        <v/>
      </c>
      <c r="J39" s="16">
        <f>COUNTIFS('Screen Status'!B2:B152,"Reports",'Screen Status'!M2:M152,"Not Started")</f>
        <v/>
      </c>
      <c r="K39" s="16">
        <f>COUNTIFS('Screen Status'!B2:B152,"Reports",'Screen Status'!M2:M152,"Pending")</f>
        <v/>
      </c>
      <c r="L39" s="16">
        <f>COUNTIFS('Screen Status'!B2:B152,"Reports",'Screen Status'!M2:M152,"In Testing")</f>
        <v/>
      </c>
      <c r="M39" s="16">
        <f>COUNTIFS('Screen Status'!B2:B152,"Reports",'Screen Status'!M2:M152,"Passed")</f>
        <v/>
      </c>
      <c r="N39" s="16">
        <f>COUNTIFS('Screen Status'!B2:B152,"Reports",'Screen Status'!M2:M152,"Failed")</f>
        <v/>
      </c>
      <c r="O39" s="16">
        <f>COUNTIFS('Screen Status'!B2:B152,"Reports",'Screen Status'!M2:M152,"Issues Found")</f>
        <v/>
      </c>
      <c r="P39" s="16">
        <f>COUNTIFS('Screen Status'!B2:B152,"Reports",'Screen Status'!M2:M152,"Blocked - Awaiting Fix")</f>
        <v/>
      </c>
      <c r="Q39" s="16">
        <f>COUNTIFS('Screen Status'!B2:B152,"Reports",'Screen Status'!M2:M152,"N/A (Upcoming)")</f>
        <v/>
      </c>
    </row>
    <row r="40">
      <c r="A40" s="15" t="inlineStr">
        <is>
          <t>Root / Layout</t>
        </is>
      </c>
      <c r="B40" s="16">
        <f>COUNTIFS('Screen Status'!B2:B152,"Root / Layout",'Screen Status'!J2:J152,"Not Started")</f>
        <v/>
      </c>
      <c r="C40" s="16">
        <f>COUNTIFS('Screen Status'!B2:B152,"Root / Layout",'Screen Status'!J2:J152,"Pending")</f>
        <v/>
      </c>
      <c r="D40" s="16">
        <f>COUNTIFS('Screen Status'!B2:B152,"Root / Layout",'Screen Status'!J2:J152,"In Testing")</f>
        <v/>
      </c>
      <c r="E40" s="16">
        <f>COUNTIFS('Screen Status'!B2:B152,"Root / Layout",'Screen Status'!J2:J152,"Passed")</f>
        <v/>
      </c>
      <c r="F40" s="16">
        <f>COUNTIFS('Screen Status'!B2:B152,"Root / Layout",'Screen Status'!J2:J152,"Failed")</f>
        <v/>
      </c>
      <c r="G40" s="16">
        <f>COUNTIFS('Screen Status'!B2:B152,"Root / Layout",'Screen Status'!J2:J152,"Issues Found")</f>
        <v/>
      </c>
      <c r="H40" s="16">
        <f>COUNTIFS('Screen Status'!B2:B152,"Root / Layout",'Screen Status'!J2:J152,"Blocked - Awaiting Fix")</f>
        <v/>
      </c>
      <c r="I40" s="16">
        <f>COUNTIFS('Screen Status'!B2:B152,"Root / Layout",'Screen Status'!J2:J152,"N/A (Upcoming)")</f>
        <v/>
      </c>
      <c r="J40" s="16">
        <f>COUNTIFS('Screen Status'!B2:B152,"Root / Layout",'Screen Status'!M2:M152,"Not Started")</f>
        <v/>
      </c>
      <c r="K40" s="16">
        <f>COUNTIFS('Screen Status'!B2:B152,"Root / Layout",'Screen Status'!M2:M152,"Pending")</f>
        <v/>
      </c>
      <c r="L40" s="16">
        <f>COUNTIFS('Screen Status'!B2:B152,"Root / Layout",'Screen Status'!M2:M152,"In Testing")</f>
        <v/>
      </c>
      <c r="M40" s="16">
        <f>COUNTIFS('Screen Status'!B2:B152,"Root / Layout",'Screen Status'!M2:M152,"Passed")</f>
        <v/>
      </c>
      <c r="N40" s="16">
        <f>COUNTIFS('Screen Status'!B2:B152,"Root / Layout",'Screen Status'!M2:M152,"Failed")</f>
        <v/>
      </c>
      <c r="O40" s="16">
        <f>COUNTIFS('Screen Status'!B2:B152,"Root / Layout",'Screen Status'!M2:M152,"Issues Found")</f>
        <v/>
      </c>
      <c r="P40" s="16">
        <f>COUNTIFS('Screen Status'!B2:B152,"Root / Layout",'Screen Status'!M2:M152,"Blocked - Awaiting Fix")</f>
        <v/>
      </c>
      <c r="Q40" s="16">
        <f>COUNTIFS('Screen Status'!B2:B152,"Root / Layout",'Screen Status'!M2:M152,"N/A (Upcoming)")</f>
        <v/>
      </c>
    </row>
    <row r="41">
      <c r="A41" s="15" t="inlineStr">
        <is>
          <t>Settings</t>
        </is>
      </c>
      <c r="B41" s="16">
        <f>COUNTIFS('Screen Status'!B2:B152,"Settings",'Screen Status'!J2:J152,"Not Started")</f>
        <v/>
      </c>
      <c r="C41" s="16">
        <f>COUNTIFS('Screen Status'!B2:B152,"Settings",'Screen Status'!J2:J152,"Pending")</f>
        <v/>
      </c>
      <c r="D41" s="16">
        <f>COUNTIFS('Screen Status'!B2:B152,"Settings",'Screen Status'!J2:J152,"In Testing")</f>
        <v/>
      </c>
      <c r="E41" s="16">
        <f>COUNTIFS('Screen Status'!B2:B152,"Settings",'Screen Status'!J2:J152,"Passed")</f>
        <v/>
      </c>
      <c r="F41" s="16">
        <f>COUNTIFS('Screen Status'!B2:B152,"Settings",'Screen Status'!J2:J152,"Failed")</f>
        <v/>
      </c>
      <c r="G41" s="16">
        <f>COUNTIFS('Screen Status'!B2:B152,"Settings",'Screen Status'!J2:J152,"Issues Found")</f>
        <v/>
      </c>
      <c r="H41" s="16">
        <f>COUNTIFS('Screen Status'!B2:B152,"Settings",'Screen Status'!J2:J152,"Blocked - Awaiting Fix")</f>
        <v/>
      </c>
      <c r="I41" s="16">
        <f>COUNTIFS('Screen Status'!B2:B152,"Settings",'Screen Status'!J2:J152,"N/A (Upcoming)")</f>
        <v/>
      </c>
      <c r="J41" s="16">
        <f>COUNTIFS('Screen Status'!B2:B152,"Settings",'Screen Status'!M2:M152,"Not Started")</f>
        <v/>
      </c>
      <c r="K41" s="16">
        <f>COUNTIFS('Screen Status'!B2:B152,"Settings",'Screen Status'!M2:M152,"Pending")</f>
        <v/>
      </c>
      <c r="L41" s="16">
        <f>COUNTIFS('Screen Status'!B2:B152,"Settings",'Screen Status'!M2:M152,"In Testing")</f>
        <v/>
      </c>
      <c r="M41" s="16">
        <f>COUNTIFS('Screen Status'!B2:B152,"Settings",'Screen Status'!M2:M152,"Passed")</f>
        <v/>
      </c>
      <c r="N41" s="16">
        <f>COUNTIFS('Screen Status'!B2:B152,"Settings",'Screen Status'!M2:M152,"Failed")</f>
        <v/>
      </c>
      <c r="O41" s="16">
        <f>COUNTIFS('Screen Status'!B2:B152,"Settings",'Screen Status'!M2:M152,"Issues Found")</f>
        <v/>
      </c>
      <c r="P41" s="16">
        <f>COUNTIFS('Screen Status'!B2:B152,"Settings",'Screen Status'!M2:M152,"Blocked - Awaiting Fix")</f>
        <v/>
      </c>
      <c r="Q41" s="16">
        <f>COUNTIFS('Screen Status'!B2:B152,"Settings",'Screen Status'!M2:M152,"N/A (Upcoming)")</f>
        <v/>
      </c>
    </row>
    <row r="42">
      <c r="A42" s="15" t="inlineStr">
        <is>
          <t>Volunteer</t>
        </is>
      </c>
      <c r="B42" s="16">
        <f>COUNTIFS('Screen Status'!B2:B152,"Volunteer",'Screen Status'!J2:J152,"Not Started")</f>
        <v/>
      </c>
      <c r="C42" s="16">
        <f>COUNTIFS('Screen Status'!B2:B152,"Volunteer",'Screen Status'!J2:J152,"Pending")</f>
        <v/>
      </c>
      <c r="D42" s="16">
        <f>COUNTIFS('Screen Status'!B2:B152,"Volunteer",'Screen Status'!J2:J152,"In Testing")</f>
        <v/>
      </c>
      <c r="E42" s="16">
        <f>COUNTIFS('Screen Status'!B2:B152,"Volunteer",'Screen Status'!J2:J152,"Passed")</f>
        <v/>
      </c>
      <c r="F42" s="16">
        <f>COUNTIFS('Screen Status'!B2:B152,"Volunteer",'Screen Status'!J2:J152,"Failed")</f>
        <v/>
      </c>
      <c r="G42" s="16">
        <f>COUNTIFS('Screen Status'!B2:B152,"Volunteer",'Screen Status'!J2:J152,"Issues Found")</f>
        <v/>
      </c>
      <c r="H42" s="16">
        <f>COUNTIFS('Screen Status'!B2:B152,"Volunteer",'Screen Status'!J2:J152,"Blocked - Awaiting Fix")</f>
        <v/>
      </c>
      <c r="I42" s="16">
        <f>COUNTIFS('Screen Status'!B2:B152,"Volunteer",'Screen Status'!J2:J152,"N/A (Upcoming)")</f>
        <v/>
      </c>
      <c r="J42" s="16">
        <f>COUNTIFS('Screen Status'!B2:B152,"Volunteer",'Screen Status'!M2:M152,"Not Started")</f>
        <v/>
      </c>
      <c r="K42" s="16">
        <f>COUNTIFS('Screen Status'!B2:B152,"Volunteer",'Screen Status'!M2:M152,"Pending")</f>
        <v/>
      </c>
      <c r="L42" s="16">
        <f>COUNTIFS('Screen Status'!B2:B152,"Volunteer",'Screen Status'!M2:M152,"In Testing")</f>
        <v/>
      </c>
      <c r="M42" s="16">
        <f>COUNTIFS('Screen Status'!B2:B152,"Volunteer",'Screen Status'!M2:M152,"Passed")</f>
        <v/>
      </c>
      <c r="N42" s="16">
        <f>COUNTIFS('Screen Status'!B2:B152,"Volunteer",'Screen Status'!M2:M152,"Failed")</f>
        <v/>
      </c>
      <c r="O42" s="16">
        <f>COUNTIFS('Screen Status'!B2:B152,"Volunteer",'Screen Status'!M2:M152,"Issues Found")</f>
        <v/>
      </c>
      <c r="P42" s="16">
        <f>COUNTIFS('Screen Status'!B2:B152,"Volunteer",'Screen Status'!M2:M152,"Blocked - Awaiting Fix")</f>
        <v/>
      </c>
      <c r="Q42" s="16">
        <f>COUNTIFS('Screen Status'!B2:B152,"Volunteer",'Screen Status'!M2:M152,"N/A (Upcoming)")</f>
        <v/>
      </c>
    </row>
    <row r="43">
      <c r="A43" s="18" t="inlineStr">
        <is>
          <t>Total</t>
        </is>
      </c>
      <c r="B43" s="17">
        <f>COUNTIF('Screen Status'!J2:J152,"Not Started")</f>
        <v/>
      </c>
      <c r="C43" s="17">
        <f>COUNTIF('Screen Status'!J2:J152,"Pending")</f>
        <v/>
      </c>
      <c r="D43" s="17">
        <f>COUNTIF('Screen Status'!J2:J152,"In Testing")</f>
        <v/>
      </c>
      <c r="E43" s="17">
        <f>COUNTIF('Screen Status'!J2:J152,"Passed")</f>
        <v/>
      </c>
      <c r="F43" s="17">
        <f>COUNTIF('Screen Status'!J2:J152,"Failed")</f>
        <v/>
      </c>
      <c r="G43" s="17">
        <f>COUNTIF('Screen Status'!J2:J152,"Issues Found")</f>
        <v/>
      </c>
      <c r="H43" s="17">
        <f>COUNTIF('Screen Status'!J2:J152,"Blocked - Awaiting Fix")</f>
        <v/>
      </c>
      <c r="I43" s="17">
        <f>COUNTIF('Screen Status'!J2:J152,"N/A (Upcoming)")</f>
        <v/>
      </c>
      <c r="J43" s="17">
        <f>COUNTIF('Screen Status'!M2:M152,"Not Started")</f>
        <v/>
      </c>
      <c r="K43" s="17">
        <f>COUNTIF('Screen Status'!M2:M152,"Pending")</f>
        <v/>
      </c>
      <c r="L43" s="17">
        <f>COUNTIF('Screen Status'!M2:M152,"In Testing")</f>
        <v/>
      </c>
      <c r="M43" s="17">
        <f>COUNTIF('Screen Status'!M2:M152,"Passed")</f>
        <v/>
      </c>
      <c r="N43" s="17">
        <f>COUNTIF('Screen Status'!M2:M152,"Failed")</f>
        <v/>
      </c>
      <c r="O43" s="17">
        <f>COUNTIF('Screen Status'!M2:M152,"Issues Found")</f>
        <v/>
      </c>
      <c r="P43" s="17">
        <f>COUNTIF('Screen Status'!M2:M152,"Blocked - Awaiting Fix")</f>
        <v/>
      </c>
      <c r="Q43" s="17">
        <f>COUNTIF('Screen Status'!M2:M152,"N/A (Upcoming)")</f>
        <v/>
      </c>
    </row>
    <row r="44"/>
    <row r="45" ht="15.6" customHeight="1">
      <c r="A45" s="13" t="inlineStr">
        <is>
          <t>③ Priority Breakdown</t>
        </is>
      </c>
    </row>
    <row r="46" ht="82.8" customHeight="1">
      <c r="A46" s="14" t="inlineStr">
        <is>
          <t>Priority</t>
        </is>
      </c>
      <c r="B46" s="14" t="inlineStr">
        <is>
          <t>Completed</t>
        </is>
      </c>
      <c r="C46" s="14" t="inlineStr">
        <is>
          <t>In Progress (Partial)</t>
        </is>
      </c>
      <c r="D46" s="14" t="inlineStr">
        <is>
          <t>Other (Ready / Not Started / Upcoming)</t>
        </is>
      </c>
      <c r="E46" s="14" t="inlineStr">
        <is>
          <t>Total</t>
        </is>
      </c>
    </row>
    <row r="47">
      <c r="A47" s="19" t="inlineStr">
        <is>
          <t>High</t>
        </is>
      </c>
      <c r="B47" s="16">
        <f>COUNTIFS('Screen Status'!E2:E152,"High",'Screen Status'!G2:G152,"Completed")</f>
        <v/>
      </c>
      <c r="C47" s="16">
        <f>COUNTIFS('Screen Status'!E2:E152,"High",'Screen Status'!G2:G152,"In Progress (Partial)")</f>
        <v/>
      </c>
      <c r="D47" s="16">
        <f>COUNTIF('Screen Status'!E2:E152,"High")-COUNTIFS('Screen Status'!E2:E152,"High",'Screen Status'!G2:G152,"Completed")-COUNTIFS('Screen Status'!E2:E152,"High",'Screen Status'!G2:G152,"In Progress (Partial)")</f>
        <v/>
      </c>
      <c r="E47" s="17">
        <f>COUNTIF('Screen Status'!E2:E152,"High")</f>
        <v/>
      </c>
    </row>
    <row r="48">
      <c r="A48" s="19" t="inlineStr">
        <is>
          <t>Medium</t>
        </is>
      </c>
      <c r="B48" s="16">
        <f>COUNTIFS('Screen Status'!E2:E152,"Medium",'Screen Status'!G2:G152,"Completed")</f>
        <v/>
      </c>
      <c r="C48" s="16">
        <f>COUNTIFS('Screen Status'!E2:E152,"Medium",'Screen Status'!G2:G152,"In Progress (Partial)")</f>
        <v/>
      </c>
      <c r="D48" s="16">
        <f>COUNTIF('Screen Status'!E2:E152,"Medium")-COUNTIFS('Screen Status'!E2:E152,"Medium",'Screen Status'!G2:G152,"Completed")-COUNTIFS('Screen Status'!E2:E152,"Medium",'Screen Status'!G2:G152,"In Progress (Partial)")</f>
        <v/>
      </c>
      <c r="E48" s="17">
        <f>COUNTIF('Screen Status'!E2:E152,"Medium")</f>
        <v/>
      </c>
    </row>
    <row r="49">
      <c r="A49" s="19" t="inlineStr">
        <is>
          <t>Low</t>
        </is>
      </c>
      <c r="B49" s="16">
        <f>COUNTIFS('Screen Status'!E2:E152,"Low",'Screen Status'!G2:G152,"Completed")</f>
        <v/>
      </c>
      <c r="C49" s="16">
        <f>COUNTIFS('Screen Status'!E2:E152,"Low",'Screen Status'!G2:G152,"In Progress (Partial)")</f>
        <v/>
      </c>
      <c r="D49" s="16">
        <f>COUNTIF('Screen Status'!E2:E152,"Low")-COUNTIFS('Screen Status'!E2:E152,"Low",'Screen Status'!G2:G152,"Completed")-COUNTIFS('Screen Status'!E2:E152,"Low",'Screen Status'!G2:G152,"In Progress (Partial)")</f>
        <v/>
      </c>
      <c r="E49" s="17">
        <f>COUNTIF('Screen Status'!E2:E152,"Low")</f>
        <v/>
      </c>
    </row>
    <row r="50"/>
    <row r="51" ht="15.6" customHeight="1">
      <c r="A51" s="13" t="inlineStr">
        <is>
          <t>④ Team Workload (counts ONLY when work is actually done)</t>
        </is>
      </c>
    </row>
    <row r="52" ht="41.4" customHeight="1">
      <c r="A52" s="14" t="inlineStr">
        <is>
          <t>Team Member</t>
        </is>
      </c>
      <c r="B52" s="14" t="inlineStr">
        <is>
          <t>Dev Completed</t>
        </is>
      </c>
      <c r="C52" s="14" t="inlineStr">
        <is>
          <t>Dev: Passed</t>
        </is>
      </c>
      <c r="D52" s="14" t="inlineStr">
        <is>
          <t>Dev: Failed</t>
        </is>
      </c>
      <c r="E52" s="14" t="inlineStr">
        <is>
          <t>Dev: Issues</t>
        </is>
      </c>
      <c r="F52" s="14" t="inlineStr">
        <is>
          <t>Dev: Pending</t>
        </is>
      </c>
      <c r="G52" s="14" t="inlineStr">
        <is>
          <t>QA: Passed</t>
        </is>
      </c>
      <c r="H52" s="14" t="inlineStr">
        <is>
          <t>QA: Failed</t>
        </is>
      </c>
      <c r="I52" s="14" t="inlineStr">
        <is>
          <t>QA: Issues</t>
        </is>
      </c>
      <c r="J52" s="14" t="inlineStr">
        <is>
          <t>QA: Pending</t>
        </is>
      </c>
      <c r="K52" s="14" t="inlineStr">
        <is>
          <t>Total Engaged</t>
        </is>
      </c>
    </row>
    <row r="53">
      <c r="A53" s="19" t="inlineStr">
        <is>
          <t>Karthick</t>
        </is>
      </c>
      <c r="B53" s="16">
        <f>COUNTIFS('Screen Status'!H2:H152,"Karthick",'Screen Status'!G2:G152,"Completed")+COUNTIFS('Screen Status'!H2:H152,"Karthick",'Screen Status'!G2:G152,"Completed - Needs Fix")</f>
        <v/>
      </c>
      <c r="C53" s="16">
        <f>COUNTIFS('Screen Status'!K2:K152,"Karthick",'Screen Status'!J2:J152,"Passed")</f>
        <v/>
      </c>
      <c r="D53" s="16">
        <f>COUNTIFS('Screen Status'!K2:K152,"Karthick",'Screen Status'!J2:J152,"Failed")</f>
        <v/>
      </c>
      <c r="E53" s="16">
        <f>COUNTIFS('Screen Status'!K2:K152,"Karthick",'Screen Status'!J2:J152,"Issues Found")</f>
        <v/>
      </c>
      <c r="F53" s="16">
        <f>COUNTIFS('Screen Status'!K2:K152,"Karthick",'Screen Status'!J2:J152,"Pending")+COUNTIFS('Screen Status'!K2:K152,"Karthick",'Screen Status'!J2:J152,"Not Started")+COUNTIFS('Screen Status'!K2:K152,"Karthick",'Screen Status'!J2:J152,"In Testing")+COUNTIFS('Screen Status'!K2:K152,"Karthick",'Screen Status'!J2:J152,"Blocked - Awaiting Fix")</f>
        <v/>
      </c>
      <c r="G53" s="16">
        <f>COUNTIFS('Screen Status'!N2:N152,"Karthick",'Screen Status'!M2:M152,"Passed")</f>
        <v/>
      </c>
      <c r="H53" s="16">
        <f>COUNTIFS('Screen Status'!N2:N152,"Karthick",'Screen Status'!M2:M152,"Failed")</f>
        <v/>
      </c>
      <c r="I53" s="16">
        <f>COUNTIFS('Screen Status'!N2:N152,"Karthick",'Screen Status'!M2:M152,"Issues Found")</f>
        <v/>
      </c>
      <c r="J53" s="16">
        <f>COUNTIFS('Screen Status'!N2:N152,"Karthick",'Screen Status'!M2:M152,"Pending")+COUNTIFS('Screen Status'!N2:N152,"Karthick",'Screen Status'!M2:M152,"Not Started")+COUNTIFS('Screen Status'!N2:N152,"Karthick",'Screen Status'!M2:M152,"In Testing")+COUNTIFS('Screen Status'!N2:N152,"Karthick",'Screen Status'!M2:M152,"Blocked - Awaiting Fix")</f>
        <v/>
      </c>
      <c r="K53" s="17">
        <f>SUM(B53:J53)</f>
        <v/>
      </c>
    </row>
    <row r="54">
      <c r="A54" s="19" t="inlineStr">
        <is>
          <t>Saranya</t>
        </is>
      </c>
      <c r="B54" s="16">
        <f>COUNTIFS('Screen Status'!H2:H152,"Saranya",'Screen Status'!G2:G152,"Completed")+COUNTIFS('Screen Status'!H2:H152,"Saranya",'Screen Status'!G2:G152,"Completed - Needs Fix")</f>
        <v/>
      </c>
      <c r="C54" s="16">
        <f>COUNTIFS('Screen Status'!K2:K152,"Saranya",'Screen Status'!J2:J152,"Passed")</f>
        <v/>
      </c>
      <c r="D54" s="16">
        <f>COUNTIFS('Screen Status'!K2:K152,"Saranya",'Screen Status'!J2:J152,"Failed")</f>
        <v/>
      </c>
      <c r="E54" s="16">
        <f>COUNTIFS('Screen Status'!K2:K152,"Saranya",'Screen Status'!J2:J152,"Issues Found")</f>
        <v/>
      </c>
      <c r="F54" s="16">
        <f>COUNTIFS('Screen Status'!K2:K152,"Saranya",'Screen Status'!J2:J152,"Pending")+COUNTIFS('Screen Status'!K2:K152,"Saranya",'Screen Status'!J2:J152,"Not Started")+COUNTIFS('Screen Status'!K2:K152,"Saranya",'Screen Status'!J2:J152,"In Testing")+COUNTIFS('Screen Status'!K2:K152,"Saranya",'Screen Status'!J2:J152,"Blocked - Awaiting Fix")</f>
        <v/>
      </c>
      <c r="G54" s="16">
        <f>COUNTIFS('Screen Status'!N2:N152,"Saranya",'Screen Status'!M2:M152,"Passed")</f>
        <v/>
      </c>
      <c r="H54" s="16">
        <f>COUNTIFS('Screen Status'!N2:N152,"Saranya",'Screen Status'!M2:M152,"Failed")</f>
        <v/>
      </c>
      <c r="I54" s="16">
        <f>COUNTIFS('Screen Status'!N2:N152,"Saranya",'Screen Status'!M2:M152,"Issues Found")</f>
        <v/>
      </c>
      <c r="J54" s="16">
        <f>COUNTIFS('Screen Status'!N2:N152,"Saranya",'Screen Status'!M2:M152,"Pending")+COUNTIFS('Screen Status'!N2:N152,"Saranya",'Screen Status'!M2:M152,"Not Started")+COUNTIFS('Screen Status'!N2:N152,"Saranya",'Screen Status'!M2:M152,"In Testing")+COUNTIFS('Screen Status'!N2:N152,"Saranya",'Screen Status'!M2:M152,"Blocked - Awaiting Fix")</f>
        <v/>
      </c>
      <c r="K54" s="17">
        <f>SUM(B54:J54)</f>
        <v/>
      </c>
    </row>
    <row r="55">
      <c r="A55" s="19" t="inlineStr">
        <is>
          <t>Kavin</t>
        </is>
      </c>
      <c r="B55" s="16">
        <f>COUNTIFS('Screen Status'!H2:H152,"Kavin",'Screen Status'!G2:G152,"Completed")+COUNTIFS('Screen Status'!H2:H152,"Kavin",'Screen Status'!G2:G152,"Completed - Needs Fix")</f>
        <v/>
      </c>
      <c r="C55" s="16">
        <f>COUNTIFS('Screen Status'!K2:K152,"Kavin",'Screen Status'!J2:J152,"Passed")</f>
        <v/>
      </c>
      <c r="D55" s="16">
        <f>COUNTIFS('Screen Status'!K2:K152,"Kavin",'Screen Status'!J2:J152,"Failed")</f>
        <v/>
      </c>
      <c r="E55" s="16">
        <f>COUNTIFS('Screen Status'!K2:K152,"Kavin",'Screen Status'!J2:J152,"Issues Found")</f>
        <v/>
      </c>
      <c r="F55" s="16">
        <f>COUNTIFS('Screen Status'!K2:K152,"Kavin",'Screen Status'!J2:J152,"Pending")+COUNTIFS('Screen Status'!K2:K152,"Kavin",'Screen Status'!J2:J152,"Not Started")+COUNTIFS('Screen Status'!K2:K152,"Kavin",'Screen Status'!J2:J152,"In Testing")+COUNTIFS('Screen Status'!K2:K152,"Kavin",'Screen Status'!J2:J152,"Blocked - Awaiting Fix")</f>
        <v/>
      </c>
      <c r="G55" s="16">
        <f>COUNTIFS('Screen Status'!N2:N152,"Kavin",'Screen Status'!M2:M152,"Passed")</f>
        <v/>
      </c>
      <c r="H55" s="16">
        <f>COUNTIFS('Screen Status'!N2:N152,"Kavin",'Screen Status'!M2:M152,"Failed")</f>
        <v/>
      </c>
      <c r="I55" s="16">
        <f>COUNTIFS('Screen Status'!N2:N152,"Kavin",'Screen Status'!M2:M152,"Issues Found")</f>
        <v/>
      </c>
      <c r="J55" s="16">
        <f>COUNTIFS('Screen Status'!N2:N152,"Kavin",'Screen Status'!M2:M152,"Pending")+COUNTIFS('Screen Status'!N2:N152,"Kavin",'Screen Status'!M2:M152,"Not Started")+COUNTIFS('Screen Status'!N2:N152,"Kavin",'Screen Status'!M2:M152,"In Testing")+COUNTIFS('Screen Status'!N2:N152,"Kavin",'Screen Status'!M2:M152,"Blocked - Awaiting Fix")</f>
        <v/>
      </c>
      <c r="K55" s="17">
        <f>SUM(B55:J55)</f>
        <v/>
      </c>
    </row>
    <row r="56">
      <c r="A56" s="19" t="inlineStr">
        <is>
          <t>Sangeetha</t>
        </is>
      </c>
      <c r="B56" s="16">
        <f>COUNTIFS('Screen Status'!H2:H152,"Sangeetha",'Screen Status'!G2:G152,"Completed")+COUNTIFS('Screen Status'!H2:H152,"Sangeetha",'Screen Status'!G2:G152,"Completed - Needs Fix")</f>
        <v/>
      </c>
      <c r="C56" s="16">
        <f>COUNTIFS('Screen Status'!K2:K152,"Sangeetha",'Screen Status'!J2:J152,"Passed")</f>
        <v/>
      </c>
      <c r="D56" s="16">
        <f>COUNTIFS('Screen Status'!K2:K152,"Sangeetha",'Screen Status'!J2:J152,"Failed")</f>
        <v/>
      </c>
      <c r="E56" s="16">
        <f>COUNTIFS('Screen Status'!K2:K152,"Sangeetha",'Screen Status'!J2:J152,"Issues Found")</f>
        <v/>
      </c>
      <c r="F56" s="16">
        <f>COUNTIFS('Screen Status'!K2:K152,"Sangeetha",'Screen Status'!J2:J152,"Pending")+COUNTIFS('Screen Status'!K2:K152,"Sangeetha",'Screen Status'!J2:J152,"Not Started")+COUNTIFS('Screen Status'!K2:K152,"Sangeetha",'Screen Status'!J2:J152,"In Testing")+COUNTIFS('Screen Status'!K2:K152,"Sangeetha",'Screen Status'!J2:J152,"Blocked - Awaiting Fix")</f>
        <v/>
      </c>
      <c r="G56" s="16">
        <f>COUNTIFS('Screen Status'!N2:N152,"Sangeetha",'Screen Status'!M2:M152,"Passed")</f>
        <v/>
      </c>
      <c r="H56" s="16">
        <f>COUNTIFS('Screen Status'!N2:N152,"Sangeetha",'Screen Status'!M2:M152,"Failed")</f>
        <v/>
      </c>
      <c r="I56" s="16">
        <f>COUNTIFS('Screen Status'!N2:N152,"Sangeetha",'Screen Status'!M2:M152,"Issues Found")</f>
        <v/>
      </c>
      <c r="J56" s="16">
        <f>COUNTIFS('Screen Status'!N2:N152,"Sangeetha",'Screen Status'!M2:M152,"Pending")+COUNTIFS('Screen Status'!N2:N152,"Sangeetha",'Screen Status'!M2:M152,"Not Started")+COUNTIFS('Screen Status'!N2:N152,"Sangeetha",'Screen Status'!M2:M152,"In Testing")+COUNTIFS('Screen Status'!N2:N152,"Sangeetha",'Screen Status'!M2:M152,"Blocked - Awaiting Fix")</f>
        <v/>
      </c>
      <c r="K56" s="17">
        <f>SUM(B56:J56)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2026-04-29T12:00:24Z</dcterms:created>
  <dcterms:modified xsi:type="dcterms:W3CDTF">2026-05-12T14:48:58Z</dcterms:modified>
  <cp:lastModifiedBy>USER</cp:lastModifiedBy>
</cp:coreProperties>
</file>